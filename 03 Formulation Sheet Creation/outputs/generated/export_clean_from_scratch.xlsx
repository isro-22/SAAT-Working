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8" customWidth="1" min="17" max="17"/>
  </cols>
  <sheetData>
    <row r="1" ht="22" customHeight="1">
      <c r="C1" s="8" t="inlineStr">
        <is>
          <t>Laboratory Formulation Sheet
&amp; Lab Work Instruction</t>
        </is>
      </c>
      <c r="P1" s="5" t="inlineStr">
        <is>
          <t>Document No</t>
        </is>
      </c>
      <c r="Q1" s="5" t="inlineStr">
        <is>
          <t>BOL-ID-BOLL-SPEC-003</t>
        </is>
      </c>
    </row>
    <row r="2" ht="22" customHeight="1">
      <c r="P2" s="5" t="inlineStr">
        <is>
          <t>Revision No</t>
        </is>
      </c>
      <c r="Q2" s="5" t="inlineStr">
        <is>
          <t>0</t>
        </is>
      </c>
    </row>
    <row r="3" ht="22" customHeight="1">
      <c r="P3" s="5" t="inlineStr">
        <is>
          <t>2026-07-07</t>
        </is>
      </c>
      <c r="Q3" s="5" t="n"/>
    </row>
    <row r="4" ht="22" customHeight="1">
      <c r="A4" s="2" t="inlineStr">
        <is>
          <t>Factory Lab to Fill Up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22" customHeight="1">
      <c r="A5" s="2" t="inlineStr">
        <is>
          <t>Full FG Description</t>
        </is>
      </c>
      <c r="B5" s="5" t="n"/>
      <c r="C5" s="5" t="inlineStr">
        <is>
          <t>SAAT 369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2" customHeight="1">
      <c r="A6" s="2" t="inlineStr">
        <is>
          <t>Mixing Factory</t>
        </is>
      </c>
      <c r="B6" s="5" t="n"/>
      <c r="C6" s="2" t="inlineStr">
        <is>
          <t>PT SAAT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22" customHeight="1">
      <c r="A7" s="2" t="inlineStr">
        <is>
          <t>Lab Personnel Involved</t>
        </is>
      </c>
      <c r="B7" s="5" t="n"/>
      <c r="C7" s="5" t="inlineStr">
        <is>
          <t>Lyla Isro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 ht="22" customHeight="1">
      <c r="A9" s="2" t="inlineStr">
        <is>
          <t>Flavor Development Reference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 ht="22" customHeight="1">
      <c r="A10" s="2" t="inlineStr">
        <is>
          <t>Standard Control</t>
        </is>
      </c>
      <c r="B10" s="5" t="n"/>
      <c r="C10" s="5" t="inlineStr">
        <is>
          <t>DJARUM 76</t>
        </is>
      </c>
      <c r="D10" s="5" t="n"/>
      <c r="E10" s="5" t="n"/>
      <c r="F10" s="5" t="n"/>
      <c r="G10" s="5" t="n"/>
      <c r="H10" s="2" t="inlineStr">
        <is>
          <t>N/A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 ht="22" customHeight="1">
      <c r="A12" s="2" t="inlineStr">
        <is>
          <t>Product Specification</t>
        </is>
      </c>
      <c r="B12" s="5" t="n"/>
      <c r="C12" s="5" t="inlineStr">
        <is>
          <t>SO-18</t>
        </is>
      </c>
      <c r="D12" s="5" t="n"/>
      <c r="E12" s="5" t="n"/>
      <c r="F12" s="5" t="n"/>
      <c r="G12" s="5" t="n"/>
      <c r="H12" s="2" t="inlineStr">
        <is>
          <t>Sample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 ht="22" customHeight="1">
      <c r="A13" s="2" t="inlineStr">
        <is>
          <t>Formulation Code</t>
        </is>
      </c>
      <c r="B13" s="5" t="n"/>
      <c r="C13" s="5">
        <f>CONCATENATE(E22,"/",E49,"/",E76)</f>
        <v/>
      </c>
      <c r="D13" s="5" t="n"/>
      <c r="E13" s="5" t="n"/>
      <c r="F13" s="5" t="n"/>
      <c r="G13" s="5" t="n"/>
      <c r="H13" s="2" t="inlineStr">
        <is>
          <t>Low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 ht="22" customHeight="1">
      <c r="A14" s="2" t="inlineStr">
        <is>
          <t>Single Capsule</t>
        </is>
      </c>
      <c r="B14" s="5" t="n"/>
      <c r="C14" s="5" t="inlineStr">
        <is>
          <t>N/A</t>
        </is>
      </c>
      <c r="D14" s="5" t="n"/>
      <c r="E14" s="5" t="n"/>
      <c r="F14" s="5" t="n"/>
      <c r="G14" s="5" t="n"/>
      <c r="H14" s="2" t="inlineStr">
        <is>
          <t>Spice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 ht="22" customHeight="1">
      <c r="A15" s="2" t="inlineStr">
        <is>
          <t>Double Capsule (Tobacco End)</t>
        </is>
      </c>
      <c r="B15" s="5" t="n"/>
      <c r="C15" s="5" t="inlineStr">
        <is>
          <t>N/A</t>
        </is>
      </c>
      <c r="D15" s="5" t="n"/>
      <c r="E15" s="5" t="n"/>
      <c r="F15" s="5" t="n"/>
      <c r="G15" s="5" t="n"/>
      <c r="H15" s="2" t="inlineStr">
        <is>
          <t>None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 ht="22" customHeight="1">
      <c r="A16" s="2" t="inlineStr">
        <is>
          <t>Double Capsule (Mouth End)</t>
        </is>
      </c>
      <c r="B16" s="5" t="n"/>
      <c r="C16" s="5" t="inlineStr">
        <is>
          <t>N/A</t>
        </is>
      </c>
      <c r="D16" s="5" t="n"/>
      <c r="E16" s="5" t="n"/>
      <c r="F16" s="5" t="n"/>
      <c r="G16" s="5" t="n"/>
      <c r="H16" s="2" t="inlineStr">
        <is>
          <t>Mild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 ht="22" customHeight="1">
      <c r="A18" s="2" t="inlineStr">
        <is>
          <t>Product Weight (mg/stick)</t>
        </is>
      </c>
      <c r="B18" s="5" t="n"/>
      <c r="C18" s="5" t="n">
        <v>720</v>
      </c>
      <c r="D18" s="5" t="n"/>
      <c r="E18" s="2" t="inlineStr">
        <is>
          <t>Clove Weight (mg/stick)</t>
        </is>
      </c>
      <c r="F18" s="5" t="n">
        <v>240</v>
      </c>
      <c r="G18" s="5" t="n"/>
      <c r="H18" s="5" t="n"/>
      <c r="I18" s="2" t="inlineStr">
        <is>
          <t>Stick per MC</t>
        </is>
      </c>
      <c r="J18" s="5" t="n">
        <v>10000</v>
      </c>
      <c r="K18" s="5" t="n"/>
      <c r="L18" s="5" t="n"/>
      <c r="M18" s="5" t="n"/>
      <c r="N18" s="5" t="n"/>
      <c r="O18" s="5" t="n"/>
      <c r="P18" s="5" t="n"/>
      <c r="Q18" s="5" t="n"/>
    </row>
    <row r="19" ht="22" customHeight="1"/>
    <row r="20" ht="22" customHeight="1">
      <c r="A20" s="9" t="inlineStr">
        <is>
          <t>Casing Rajangan</t>
        </is>
      </c>
    </row>
    <row r="21" ht="22" customHeight="1">
      <c r="A21" t="inlineStr">
        <is>
          <t>Casing NAV Item Code</t>
        </is>
      </c>
      <c r="E21" t="inlineStr">
        <is>
          <t>GEN-CS-00000</t>
        </is>
      </c>
    </row>
    <row r="22" ht="22" customHeight="1">
      <c r="A22" t="inlineStr">
        <is>
          <t>Casing NAV Item Description</t>
        </is>
      </c>
      <c r="E22" t="inlineStr">
        <is>
          <t>CS_R-CK-LCDT-04_R00</t>
        </is>
      </c>
    </row>
    <row r="23" ht="22" customHeight="1">
      <c r="A23" t="inlineStr">
        <is>
          <t>Blend Ratio</t>
        </is>
      </c>
      <c r="E23" t="n">
        <v>0.38</v>
      </c>
    </row>
    <row r="24" ht="22" customHeight="1">
      <c r="A24" t="inlineStr">
        <is>
          <t>Casing Application (%)</t>
        </is>
      </c>
      <c r="E24" t="n">
        <v>0.03078</v>
      </c>
    </row>
    <row r="25" ht="22" customHeight="1">
      <c r="A25" s="10" t="inlineStr">
        <is>
          <t>No</t>
        </is>
      </c>
      <c r="B25" s="10" t="inlineStr">
        <is>
          <t>Material NAV Item
Code</t>
        </is>
      </c>
      <c r="C25" s="10" t="inlineStr">
        <is>
          <t>Material Name</t>
        </is>
      </c>
      <c r="D25" s="10" t="inlineStr"/>
      <c r="E25" s="10" t="inlineStr">
        <is>
          <t>Physical
Form</t>
        </is>
      </c>
      <c r="F25" s="10" t="inlineStr">
        <is>
          <t>CAS Number</t>
        </is>
      </c>
      <c r="G25" s="10" t="inlineStr">
        <is>
          <t>Ratio
(%)</t>
        </is>
      </c>
      <c r="H25" s="10" t="inlineStr">
        <is>
          <t>Dosage
(mg/stick)</t>
        </is>
      </c>
      <c r="I25" s="10" t="inlineStr">
        <is>
          <t>Material
Price
(USD / KG)</t>
        </is>
      </c>
      <c r="J25" s="10" t="inlineStr">
        <is>
          <t>Formulation
Price
(USD / KG)</t>
        </is>
      </c>
      <c r="K25" s="10" t="inlineStr">
        <is>
          <t>Dosage
(KG / MC)</t>
        </is>
      </c>
      <c r="L25" s="10" t="inlineStr">
        <is>
          <t>Density</t>
        </is>
      </c>
      <c r="M25" s="10" t="inlineStr">
        <is>
          <t>Addition
Sequence</t>
        </is>
      </c>
      <c r="N25" s="10" t="inlineStr">
        <is>
          <t>Temperature</t>
        </is>
      </c>
      <c r="O25" s="10" t="inlineStr">
        <is>
          <t>Agitation
Rate</t>
        </is>
      </c>
      <c r="P25" s="10" t="inlineStr">
        <is>
          <t>Mixing
Duration</t>
        </is>
      </c>
      <c r="Q25" s="10" t="inlineStr">
        <is>
          <t>Work Instruction</t>
        </is>
      </c>
    </row>
    <row r="26" ht="22" customHeight="1">
      <c r="A26" s="11" t="n">
        <v>1</v>
      </c>
      <c r="B26" s="11" t="inlineStr">
        <is>
          <t>GEN-WA-00001</t>
        </is>
      </c>
      <c r="C26" s="11" t="inlineStr">
        <is>
          <t>WATER</t>
        </is>
      </c>
      <c r="D26" s="11" t="n"/>
      <c r="E26" s="11" t="n">
        <v/>
      </c>
      <c r="F26" s="11" t="n">
        <v/>
      </c>
      <c r="G26" s="11" t="n">
        <v>0.3846153846153846</v>
      </c>
      <c r="H26" s="11" t="n">
        <v>1.25</v>
      </c>
      <c r="I26" s="11" t="n">
        <v>0</v>
      </c>
      <c r="J26" s="11" t="n">
        <v>0</v>
      </c>
      <c r="K26" s="11" t="n">
        <v>0.0125</v>
      </c>
      <c r="L26" s="11" t="n"/>
      <c r="M26" s="11" t="n">
        <v>1</v>
      </c>
      <c r="N26" s="11" t="n"/>
      <c r="O26" s="11" t="n"/>
      <c r="P26" s="11" t="n"/>
      <c r="Q26" s="11" t="inlineStr">
        <is>
          <t>Magnetic stirrer. Start mixing base materials till uniform.</t>
        </is>
      </c>
    </row>
    <row r="27" ht="22" customHeight="1">
      <c r="A27" s="11" t="n">
        <v>2</v>
      </c>
      <c r="B27" s="11" t="inlineStr">
        <is>
          <t>GEN-CHM-00015</t>
        </is>
      </c>
      <c r="C27" s="11" t="inlineStr">
        <is>
          <t>INVERT SUGAR</t>
        </is>
      </c>
      <c r="D27" s="11" t="n"/>
      <c r="E27" s="11" t="inlineStr">
        <is>
          <t>Liquid</t>
        </is>
      </c>
      <c r="F27" s="11" t="inlineStr">
        <is>
          <t>8013-17-0</t>
        </is>
      </c>
      <c r="G27" s="11" t="n">
        <v>0.6153846153846154</v>
      </c>
      <c r="H27" s="11" t="n">
        <v>2</v>
      </c>
      <c r="I27" s="11" t="n">
        <v>0.7205767050561798</v>
      </c>
      <c r="J27" s="11" t="n">
        <v>0.4434318184961106</v>
      </c>
      <c r="K27" s="11" t="n">
        <v>0.02</v>
      </c>
      <c r="L27" s="11" t="n"/>
      <c r="M27" s="11" t="n">
        <v>2</v>
      </c>
      <c r="N27" s="11" t="n"/>
      <c r="O27" s="11" t="n"/>
      <c r="P27" s="11" t="n"/>
      <c r="Q27" s="11" t="inlineStr">
        <is>
          <t>Add material in sequence 2. Mix until uniform.</t>
        </is>
      </c>
    </row>
    <row r="28" ht="22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</row>
    <row r="29" ht="22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 ht="2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</row>
    <row r="31" ht="22" customHeight="1">
      <c r="A31" s="11" t="inlineStr">
        <is>
          <t>Total</t>
        </is>
      </c>
      <c r="B31" s="11" t="n"/>
      <c r="C31" s="11" t="n"/>
      <c r="D31" s="11" t="n"/>
      <c r="E31" s="11" t="n"/>
      <c r="F31" s="11" t="n"/>
      <c r="G31" s="11">
        <f>SUM(G26:G30)</f>
        <v/>
      </c>
      <c r="H31" s="11">
        <f>SUM(H26:H30)</f>
        <v/>
      </c>
      <c r="I31" s="11" t="n"/>
      <c r="J31" s="11">
        <f>SUM(J26:J30)</f>
        <v/>
      </c>
      <c r="K31" s="11">
        <f>SUM(K26:K30)</f>
        <v/>
      </c>
      <c r="L31" s="11" t="n"/>
      <c r="M31" s="11" t="n"/>
      <c r="N31" s="11" t="n"/>
      <c r="O31" s="11" t="n"/>
      <c r="P31" s="11" t="n"/>
      <c r="Q31" s="11" t="n"/>
    </row>
    <row r="32" ht="22" customHeight="1"/>
    <row r="33" ht="22" customHeight="1">
      <c r="A33" s="9" t="inlineStr">
        <is>
          <t>Casing Krosok</t>
        </is>
      </c>
    </row>
    <row r="34" ht="22" customHeight="1">
      <c r="A34" t="inlineStr">
        <is>
          <t>Casing NAV Item Code</t>
        </is>
      </c>
    </row>
    <row r="35" ht="22" customHeight="1">
      <c r="A35" t="inlineStr">
        <is>
          <t>Casing NAV Item Description</t>
        </is>
      </c>
    </row>
    <row r="36" ht="22" customHeight="1">
      <c r="A36" t="inlineStr">
        <is>
          <t>Blend Ratio</t>
        </is>
      </c>
    </row>
    <row r="37" ht="22" customHeight="1">
      <c r="A37" t="inlineStr">
        <is>
          <t>Casing Application (%)</t>
        </is>
      </c>
    </row>
    <row r="38" ht="22" customHeight="1">
      <c r="A38" s="10" t="inlineStr">
        <is>
          <t>No</t>
        </is>
      </c>
      <c r="B38" s="10" t="inlineStr">
        <is>
          <t>Material NAV Item
Code</t>
        </is>
      </c>
      <c r="C38" s="10" t="inlineStr">
        <is>
          <t>Material Name</t>
        </is>
      </c>
      <c r="D38" s="10" t="inlineStr"/>
      <c r="E38" s="10" t="inlineStr">
        <is>
          <t>Physical
Form</t>
        </is>
      </c>
      <c r="F38" s="10" t="inlineStr">
        <is>
          <t>CAS Number</t>
        </is>
      </c>
      <c r="G38" s="10" t="inlineStr">
        <is>
          <t>Ratio
(%)</t>
        </is>
      </c>
      <c r="H38" s="10" t="inlineStr">
        <is>
          <t>Dosage
(mg/stick)</t>
        </is>
      </c>
      <c r="I38" s="10" t="inlineStr">
        <is>
          <t>Material
Price
(USD / KG)</t>
        </is>
      </c>
      <c r="J38" s="10" t="inlineStr">
        <is>
          <t>Formulation
Price
(USD / KG)</t>
        </is>
      </c>
      <c r="K38" s="10" t="inlineStr">
        <is>
          <t>Dosage
(KG / MC)</t>
        </is>
      </c>
      <c r="L38" s="10" t="inlineStr">
        <is>
          <t>Density</t>
        </is>
      </c>
      <c r="M38" s="10" t="inlineStr">
        <is>
          <t>Addition
Sequence</t>
        </is>
      </c>
      <c r="N38" s="10" t="inlineStr">
        <is>
          <t>Temperature</t>
        </is>
      </c>
      <c r="O38" s="10" t="inlineStr">
        <is>
          <t>Agitation
Rate</t>
        </is>
      </c>
      <c r="P38" s="10" t="inlineStr">
        <is>
          <t>Mixing
Duration</t>
        </is>
      </c>
      <c r="Q38" s="10" t="inlineStr">
        <is>
          <t>Work Instruction</t>
        </is>
      </c>
    </row>
    <row r="39" ht="22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</row>
    <row r="40" ht="22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</row>
    <row r="41" ht="22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</row>
    <row r="42" ht="22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 ht="22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</row>
    <row r="44" ht="22" customHeight="1">
      <c r="A44" s="11" t="inlineStr">
        <is>
          <t>Total</t>
        </is>
      </c>
      <c r="B44" s="11" t="n"/>
      <c r="C44" s="11" t="n"/>
      <c r="D44" s="11" t="n"/>
      <c r="E44" s="11" t="n"/>
      <c r="F44" s="11" t="n"/>
      <c r="G44" s="11">
        <f>SUM(G39:G43)</f>
        <v/>
      </c>
      <c r="H44" s="11">
        <f>SUM(H39:H43)</f>
        <v/>
      </c>
      <c r="I44" s="11" t="n"/>
      <c r="J44" s="11">
        <f>SUM(J39:J43)</f>
        <v/>
      </c>
      <c r="K44" s="11">
        <f>SUM(K39:K43)</f>
        <v/>
      </c>
      <c r="L44" s="11" t="n"/>
      <c r="M44" s="11" t="n"/>
      <c r="N44" s="11" t="n"/>
      <c r="O44" s="11" t="n"/>
      <c r="P44" s="11" t="n"/>
      <c r="Q44" s="11" t="n"/>
    </row>
    <row r="45" ht="22" customHeight="1"/>
    <row r="46" ht="22" customHeight="1">
      <c r="A46" s="9" t="inlineStr">
        <is>
          <t>Top Flavor</t>
        </is>
      </c>
    </row>
    <row r="47" ht="22" customHeight="1">
      <c r="A47" t="inlineStr">
        <is>
          <t>Top Flavor NAV Item Code</t>
        </is>
      </c>
    </row>
    <row r="48" ht="22" customHeight="1">
      <c r="A48" t="inlineStr">
        <is>
          <t>Top Flavor NAV Item Description</t>
        </is>
      </c>
    </row>
    <row r="49" ht="22" customHeight="1">
      <c r="A49" t="inlineStr">
        <is>
          <t>Blend Ratio</t>
        </is>
      </c>
    </row>
    <row r="50" ht="22" customHeight="1">
      <c r="A50" t="inlineStr">
        <is>
          <t>Top Flavor Application (%)</t>
        </is>
      </c>
    </row>
    <row r="51" ht="22" customHeight="1">
      <c r="A51" s="10" t="inlineStr">
        <is>
          <t>No</t>
        </is>
      </c>
      <c r="B51" s="10" t="inlineStr">
        <is>
          <t>Material NAV Item
Code</t>
        </is>
      </c>
      <c r="C51" s="10" t="inlineStr">
        <is>
          <t>Material Name</t>
        </is>
      </c>
      <c r="D51" s="10" t="inlineStr"/>
      <c r="E51" s="10" t="inlineStr">
        <is>
          <t>Physical
Form</t>
        </is>
      </c>
      <c r="F51" s="10" t="inlineStr">
        <is>
          <t>CAS Number</t>
        </is>
      </c>
      <c r="G51" s="10" t="inlineStr">
        <is>
          <t>Ratio
(%)</t>
        </is>
      </c>
      <c r="H51" s="10" t="inlineStr">
        <is>
          <t>Dosage
(mg/stick)</t>
        </is>
      </c>
      <c r="I51" s="10" t="inlineStr">
        <is>
          <t>Material
Price
(USD / KG)</t>
        </is>
      </c>
      <c r="J51" s="10" t="inlineStr">
        <is>
          <t>Formulation
Price
(USD / KG)</t>
        </is>
      </c>
      <c r="K51" s="10" t="inlineStr">
        <is>
          <t>Dosage
(KG / MC)</t>
        </is>
      </c>
      <c r="L51" s="10" t="inlineStr">
        <is>
          <t>Density</t>
        </is>
      </c>
      <c r="M51" s="10" t="inlineStr">
        <is>
          <t>Addition
Sequence</t>
        </is>
      </c>
      <c r="N51" s="10" t="inlineStr">
        <is>
          <t>Temperature</t>
        </is>
      </c>
      <c r="O51" s="10" t="inlineStr">
        <is>
          <t>Agitation
Rate</t>
        </is>
      </c>
      <c r="P51" s="10" t="inlineStr">
        <is>
          <t>Mixing
Duration</t>
        </is>
      </c>
      <c r="Q51" s="10" t="inlineStr">
        <is>
          <t>Work Instruction</t>
        </is>
      </c>
    </row>
    <row r="52" ht="22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</row>
    <row r="53" ht="22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</row>
    <row r="54" ht="22" customHeight="1">
      <c r="A54" s="11" t="inlineStr">
        <is>
          <t>Total</t>
        </is>
      </c>
      <c r="B54" s="11" t="n"/>
      <c r="C54" s="11" t="n"/>
      <c r="D54" s="11" t="n"/>
      <c r="E54" s="11" t="n"/>
      <c r="F54" s="11" t="n"/>
      <c r="G54" s="11">
        <f>SUM(G52:G53)</f>
        <v/>
      </c>
      <c r="H54" s="11">
        <f>SUM(H52:H53)</f>
        <v/>
      </c>
      <c r="I54" s="11" t="n"/>
      <c r="J54" s="11">
        <f>SUM(J52:J53)</f>
        <v/>
      </c>
      <c r="K54" s="11">
        <f>SUM(K52:K53)</f>
        <v/>
      </c>
      <c r="L54" s="11" t="n"/>
      <c r="M54" s="11" t="n"/>
      <c r="N54" s="11" t="n"/>
      <c r="O54" s="11" t="n"/>
      <c r="P54" s="11" t="n"/>
      <c r="Q54" s="11" t="n"/>
    </row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>
      <c r="A73" s="9" t="inlineStr">
        <is>
          <t>Casing Pre-Mix Formulation</t>
        </is>
      </c>
    </row>
    <row r="74" ht="22" customHeight="1">
      <c r="A74" t="inlineStr">
        <is>
          <t>Casing Pre-Mix Formulation NAV Item Code</t>
        </is>
      </c>
    </row>
    <row r="75" ht="22" customHeight="1">
      <c r="A75" t="inlineStr">
        <is>
          <t>Casing Pre-Mix Formulation NAV Item Description</t>
        </is>
      </c>
    </row>
    <row r="76" ht="22" customHeight="1">
      <c r="A76" s="10" t="inlineStr">
        <is>
          <t>No</t>
        </is>
      </c>
      <c r="B76" s="10" t="inlineStr">
        <is>
          <t>Material NAV Item
Code</t>
        </is>
      </c>
      <c r="C76" s="10" t="inlineStr">
        <is>
          <t>Material Name</t>
        </is>
      </c>
      <c r="D76" s="10" t="inlineStr"/>
      <c r="E76" s="10" t="inlineStr">
        <is>
          <t>Physical
Form</t>
        </is>
      </c>
      <c r="F76" s="10" t="inlineStr">
        <is>
          <t>CAS Number</t>
        </is>
      </c>
      <c r="G76" s="10" t="inlineStr">
        <is>
          <t>Ratio
(%)</t>
        </is>
      </c>
      <c r="H76" s="10" t="inlineStr">
        <is>
          <t>Dosage
(mg/stick)</t>
        </is>
      </c>
      <c r="I76" s="10" t="inlineStr">
        <is>
          <t>Material
Price
(USD / KG)</t>
        </is>
      </c>
      <c r="J76" s="10" t="inlineStr">
        <is>
          <t>Formulation
Price
(USD / KG)</t>
        </is>
      </c>
      <c r="K76" s="10" t="inlineStr">
        <is>
          <t>Dosage
(KG / MC)</t>
        </is>
      </c>
      <c r="L76" s="10" t="inlineStr">
        <is>
          <t>Density</t>
        </is>
      </c>
      <c r="M76" s="10" t="inlineStr">
        <is>
          <t>Addition
Sequence</t>
        </is>
      </c>
      <c r="N76" s="10" t="inlineStr">
        <is>
          <t>Temperature</t>
        </is>
      </c>
      <c r="O76" s="10" t="inlineStr">
        <is>
          <t>Agitation
Rate</t>
        </is>
      </c>
      <c r="P76" s="10" t="inlineStr">
        <is>
          <t>Mixing
Duration</t>
        </is>
      </c>
      <c r="Q76" s="10" t="inlineStr">
        <is>
          <t>Work Instruction</t>
        </is>
      </c>
    </row>
    <row r="77" ht="22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ht="22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 ht="22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 ht="22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 ht="22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 ht="22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 ht="22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 ht="22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 ht="22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 ht="22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 ht="22" customHeight="1">
      <c r="A87" s="11" t="inlineStr">
        <is>
          <t>Total</t>
        </is>
      </c>
      <c r="B87" s="11" t="n"/>
      <c r="C87" s="11" t="n"/>
      <c r="D87" s="11" t="n"/>
      <c r="E87" s="11" t="n"/>
      <c r="F87" s="11" t="n"/>
      <c r="G87" s="11">
        <f>SUM(G77:G86)</f>
        <v/>
      </c>
      <c r="H87" s="11">
        <f>SUM(H77:H86)</f>
        <v/>
      </c>
      <c r="I87" s="11" t="n"/>
      <c r="J87" s="11">
        <f>SUM(J77:J86)</f>
        <v/>
      </c>
      <c r="K87" s="11">
        <f>SUM(K77:K86)</f>
        <v/>
      </c>
      <c r="L87" s="11" t="n"/>
      <c r="M87" s="11" t="n"/>
      <c r="N87" s="11" t="n"/>
      <c r="O87" s="11" t="n"/>
      <c r="P87" s="11" t="n"/>
      <c r="Q87" s="11" t="n"/>
    </row>
    <row r="88" ht="22" customHeight="1"/>
    <row r="89" ht="22" customHeight="1">
      <c r="A89" s="9" t="inlineStr">
        <is>
          <t>Flavor Pre-Mix Formulation</t>
        </is>
      </c>
    </row>
    <row r="90" ht="22" customHeight="1">
      <c r="A90" t="inlineStr">
        <is>
          <t>Flavor Pre-Mix Formulation NAV Item Code</t>
        </is>
      </c>
    </row>
    <row r="91" ht="22" customHeight="1">
      <c r="A91" t="inlineStr">
        <is>
          <t>Flavor Pre-Mix Formulation NAV Item Description</t>
        </is>
      </c>
    </row>
    <row r="92" ht="22" customHeight="1">
      <c r="A92" s="10" t="inlineStr">
        <is>
          <t>No</t>
        </is>
      </c>
      <c r="B92" s="10" t="inlineStr">
        <is>
          <t>Material NAV Item
Code</t>
        </is>
      </c>
      <c r="C92" s="10" t="inlineStr">
        <is>
          <t>Material Name</t>
        </is>
      </c>
      <c r="D92" s="10" t="inlineStr"/>
      <c r="E92" s="10" t="inlineStr">
        <is>
          <t>Physical
Form</t>
        </is>
      </c>
      <c r="F92" s="10" t="inlineStr">
        <is>
          <t>CAS Number</t>
        </is>
      </c>
      <c r="G92" s="10" t="inlineStr">
        <is>
          <t>Ratio
(%)</t>
        </is>
      </c>
      <c r="H92" s="10" t="inlineStr">
        <is>
          <t>Dosage
(mg/stick)</t>
        </is>
      </c>
      <c r="I92" s="10" t="inlineStr">
        <is>
          <t>Material
Price
(USD / KG)</t>
        </is>
      </c>
      <c r="J92" s="10" t="inlineStr">
        <is>
          <t>Formulation
Price
(USD / KG)</t>
        </is>
      </c>
      <c r="K92" s="10" t="inlineStr">
        <is>
          <t>Dosage
(KG / MC)</t>
        </is>
      </c>
      <c r="L92" s="10" t="inlineStr">
        <is>
          <t>Density</t>
        </is>
      </c>
      <c r="M92" s="10" t="inlineStr">
        <is>
          <t>Addition
Sequence</t>
        </is>
      </c>
      <c r="N92" s="10" t="inlineStr">
        <is>
          <t>Temperature</t>
        </is>
      </c>
      <c r="O92" s="10" t="inlineStr">
        <is>
          <t>Agitation
Rate</t>
        </is>
      </c>
      <c r="P92" s="10" t="inlineStr">
        <is>
          <t>Mixing
Duration</t>
        </is>
      </c>
      <c r="Q92" s="10" t="inlineStr">
        <is>
          <t>Work Instruction</t>
        </is>
      </c>
    </row>
    <row r="93" ht="22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</row>
    <row r="94" ht="22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</row>
    <row r="95" ht="22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</row>
    <row r="96" ht="22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</row>
    <row r="97" ht="22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</row>
    <row r="98" ht="22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</row>
    <row r="99" ht="22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</row>
    <row r="100" ht="22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</row>
    <row r="101" ht="22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</row>
    <row r="102" ht="22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</row>
    <row r="103" ht="22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</row>
    <row r="104" ht="22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</row>
    <row r="105" ht="22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</row>
    <row r="106" ht="22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</row>
    <row r="107" ht="22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</row>
    <row r="108" ht="22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</row>
    <row r="109" ht="22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</row>
    <row r="110" ht="22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</row>
    <row r="111" ht="22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</row>
    <row r="112" ht="22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</row>
    <row r="113" ht="22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</row>
    <row r="114" ht="22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</row>
    <row r="115" ht="22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</row>
    <row r="116" ht="22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</row>
    <row r="117" ht="22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</row>
    <row r="118" ht="22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</row>
    <row r="119" ht="22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</row>
    <row r="120" ht="22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</row>
    <row r="121" ht="22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</row>
    <row r="122" ht="22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</row>
    <row r="123" ht="22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</row>
    <row r="124" ht="22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</row>
    <row r="125" ht="22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</row>
    <row r="126" ht="22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</row>
    <row r="127" ht="22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</row>
    <row r="128" ht="22" customHeight="1">
      <c r="A128" s="11" t="inlineStr">
        <is>
          <t>Total</t>
        </is>
      </c>
      <c r="B128" s="11" t="n"/>
      <c r="C128" s="11" t="n"/>
      <c r="D128" s="11" t="n"/>
      <c r="E128" s="11" t="n"/>
      <c r="F128" s="11" t="n"/>
      <c r="G128" s="11">
        <f>SUM(G93:G127)</f>
        <v/>
      </c>
      <c r="H128" s="11">
        <f>SUM(H93:H127)</f>
        <v/>
      </c>
      <c r="I128" s="11" t="n"/>
      <c r="J128" s="11">
        <f>SUM(J93:J127)</f>
        <v/>
      </c>
      <c r="K128" s="11">
        <f>SUM(K93:K127)</f>
        <v/>
      </c>
      <c r="L128" s="11" t="n"/>
      <c r="M128" s="11" t="n"/>
      <c r="N128" s="11" t="n"/>
      <c r="O128" s="11" t="n"/>
      <c r="P128" s="11" t="n"/>
      <c r="Q128" s="11" t="n"/>
    </row>
    <row r="129" ht="22" customHeight="1"/>
    <row r="130" ht="22" customHeight="1">
      <c r="A130" s="9" t="inlineStr">
        <is>
          <t>Flavor Pre-Mix Formulation</t>
        </is>
      </c>
    </row>
    <row r="131" ht="22" customHeight="1">
      <c r="A131" t="inlineStr">
        <is>
          <t>Flavor Pre-Mix Formulation NAV Item Code</t>
        </is>
      </c>
    </row>
    <row r="132" ht="22" customHeight="1">
      <c r="A132" t="inlineStr">
        <is>
          <t>Flavor Pre-Mix Formulation NAV Item Description</t>
        </is>
      </c>
    </row>
    <row r="133" ht="22" customHeight="1">
      <c r="A133" s="10" t="inlineStr">
        <is>
          <t>No</t>
        </is>
      </c>
      <c r="B133" s="10" t="inlineStr">
        <is>
          <t>Material NAV Item
Code</t>
        </is>
      </c>
      <c r="C133" s="10" t="inlineStr">
        <is>
          <t>Material Name</t>
        </is>
      </c>
      <c r="D133" s="10" t="inlineStr"/>
      <c r="E133" s="10" t="inlineStr">
        <is>
          <t>Physical
Form</t>
        </is>
      </c>
      <c r="F133" s="10" t="inlineStr">
        <is>
          <t>CAS Number</t>
        </is>
      </c>
      <c r="G133" s="10" t="inlineStr">
        <is>
          <t>Ratio
(%)</t>
        </is>
      </c>
      <c r="H133" s="10" t="inlineStr">
        <is>
          <t>Dosage
(mg/stick)</t>
        </is>
      </c>
      <c r="I133" s="10" t="inlineStr">
        <is>
          <t>Material
Price
(USD / KG)</t>
        </is>
      </c>
      <c r="J133" s="10" t="inlineStr">
        <is>
          <t>Formulation
Price
(USD / KG)</t>
        </is>
      </c>
      <c r="K133" s="10" t="inlineStr">
        <is>
          <t>Dosage
(KG / MC)</t>
        </is>
      </c>
      <c r="L133" s="10" t="inlineStr">
        <is>
          <t>Density</t>
        </is>
      </c>
      <c r="M133" s="10" t="inlineStr">
        <is>
          <t>Addition
Sequence</t>
        </is>
      </c>
      <c r="N133" s="10" t="inlineStr">
        <is>
          <t>Temperature</t>
        </is>
      </c>
      <c r="O133" s="10" t="inlineStr">
        <is>
          <t>Agitation
Rate</t>
        </is>
      </c>
      <c r="P133" s="10" t="inlineStr">
        <is>
          <t>Mixing
Duration</t>
        </is>
      </c>
      <c r="Q133" s="10" t="inlineStr">
        <is>
          <t>Work Instruction</t>
        </is>
      </c>
    </row>
    <row r="134" ht="22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</row>
    <row r="135" ht="22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</row>
    <row r="136" ht="22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</row>
    <row r="137" ht="22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</row>
    <row r="138" ht="22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</row>
    <row r="139" ht="22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</row>
    <row r="140" ht="22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</row>
    <row r="141" ht="22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</row>
    <row r="142" ht="22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</row>
    <row r="143" ht="22" customHeight="1">
      <c r="A143" s="11" t="inlineStr">
        <is>
          <t>Total</t>
        </is>
      </c>
      <c r="B143" s="11" t="n"/>
      <c r="C143" s="11" t="n"/>
      <c r="D143" s="11" t="n"/>
      <c r="E143" s="11" t="n"/>
      <c r="F143" s="11" t="n"/>
      <c r="G143" s="11">
        <f>SUM(G134:G142)</f>
        <v/>
      </c>
      <c r="H143" s="11">
        <f>SUM(H134:H142)</f>
        <v/>
      </c>
      <c r="I143" s="11" t="n"/>
      <c r="J143" s="11">
        <f>SUM(J134:J142)</f>
        <v/>
      </c>
      <c r="K143" s="11">
        <f>SUM(K134:K142)</f>
        <v/>
      </c>
      <c r="L143" s="11" t="n"/>
      <c r="M143" s="11" t="n"/>
      <c r="N143" s="11" t="n"/>
      <c r="O143" s="11" t="n"/>
      <c r="P143" s="11" t="n"/>
      <c r="Q143" s="11" t="n"/>
    </row>
  </sheetData>
  <mergeCells count="1">
    <mergeCell ref="C1:O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2" t="inlineStr">
        <is>
          <t>Item Code</t>
        </is>
      </c>
      <c r="B1" s="12" t="inlineStr">
        <is>
          <t>SAAT</t>
        </is>
      </c>
      <c r="C1" s="12" t="inlineStr">
        <is>
          <t>BOL</t>
        </is>
      </c>
      <c r="D1" s="12" t="inlineStr">
        <is>
          <t>Jumlah *</t>
        </is>
      </c>
      <c r="E1" s="12" t="inlineStr">
        <is>
          <t>Item Name</t>
        </is>
      </c>
      <c r="F1" s="12" t="inlineStr">
        <is>
          <t>Chemical Name</t>
        </is>
      </c>
      <c r="G1" s="12" t="inlineStr">
        <is>
          <t>Price (USD)/KG</t>
        </is>
      </c>
      <c r="H1" s="12" t="inlineStr">
        <is>
          <t>CAS Number</t>
        </is>
      </c>
      <c r="I1" s="12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7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2026-07-07T15:15:57Z</dcterms:created>
  <dcterms:modified xsi:type="dcterms:W3CDTF">2026-07-07T15:15:58Z</dcterms:modified>
</cp:coreProperties>
</file>