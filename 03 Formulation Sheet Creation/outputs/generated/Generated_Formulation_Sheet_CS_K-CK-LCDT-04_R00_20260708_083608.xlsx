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3" fillId="0" borderId="2" applyAlignment="1" applyProtection="1" pivotButton="0" quotePrefix="0" xfId="0">
      <alignment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5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7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8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3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8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68" fontId="8" fillId="0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0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8" fontId="8" fillId="8" borderId="2" applyAlignment="1" applyProtection="1" pivotButton="0" quotePrefix="0" xfId="3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4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3">
      <alignment horizontal="left" vertical="center" wrapText="1"/>
      <protection locked="0" hidden="0"/>
    </xf>
    <xf numFmtId="169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166" fontId="8" fillId="9" borderId="2" applyAlignment="1" applyProtection="1" pivotButton="0" quotePrefix="0" xfId="1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center" vertical="center" wrapText="1"/>
      <protection locked="0" hidden="0"/>
    </xf>
    <xf numFmtId="170" fontId="8" fillId="9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3">
      <alignment horizontal="center" vertical="center" wrapText="1"/>
      <protection locked="0" hidden="0"/>
    </xf>
    <xf numFmtId="164" fontId="3" fillId="6" borderId="2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2" fontId="8" fillId="0" borderId="2" applyAlignment="1" applyProtection="1" pivotButton="0" quotePrefix="0" xfId="0">
      <alignment horizontal="center" vertical="center" wrapText="1"/>
      <protection locked="0" hidden="0"/>
    </xf>
    <xf numFmtId="9" fontId="8" fillId="0" borderId="2" applyAlignment="1" applyProtection="1" pivotButton="0" quotePrefix="0" xfId="1">
      <alignment horizontal="center" vertical="center" wrapText="1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66" fontId="8" fillId="0" borderId="2" applyAlignment="1" applyProtection="1" pivotButton="0" quotePrefix="0" xfId="3">
      <alignment horizontal="center" vertical="center" wrapText="1"/>
      <protection locked="0" hidden="0"/>
    </xf>
    <xf numFmtId="164" fontId="8" fillId="0" borderId="2" applyAlignment="1" applyProtection="1" pivotButton="0" quotePrefix="0" xfId="3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166" fontId="3" fillId="9" borderId="6" applyAlignment="1" applyProtection="1" pivotButton="0" quotePrefix="0" xfId="3">
      <alignment horizontal="center" vertical="center" wrapText="1"/>
      <protection locked="0" hidden="0"/>
    </xf>
    <xf numFmtId="164" fontId="3" fillId="9" borderId="2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8" fillId="10" borderId="6" applyAlignment="1" applyProtection="1" pivotButton="0" quotePrefix="0" xfId="0">
      <alignment horizontal="center" vertical="center" wrapText="1"/>
      <protection locked="0" hidden="0"/>
    </xf>
    <xf numFmtId="0" fontId="8" fillId="10" borderId="2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vertical="center" wrapText="1"/>
      <protection locked="0" hidden="0"/>
    </xf>
    <xf numFmtId="0" fontId="8" fillId="0" borderId="13" applyAlignment="1" applyProtection="1" pivotButton="0" quotePrefix="0" xfId="0">
      <alignment vertical="center" wrapText="1"/>
      <protection locked="0" hidden="0"/>
    </xf>
    <xf numFmtId="14" fontId="8" fillId="0" borderId="14" applyAlignment="1" applyProtection="1" pivotButton="0" quotePrefix="0" xfId="0">
      <alignment vertical="center" wrapText="1"/>
      <protection locked="0" hidden="0"/>
    </xf>
    <xf numFmtId="0" fontId="8" fillId="0" borderId="14" applyAlignment="1" applyProtection="1" pivotButton="0" quotePrefix="0" xfId="0">
      <alignment vertical="center" wrapText="1"/>
      <protection locked="0" hidden="0"/>
    </xf>
    <xf numFmtId="0" fontId="8" fillId="0" borderId="7" applyAlignment="1" applyProtection="1" pivotButton="0" quotePrefix="0" xfId="0">
      <alignment vertical="center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7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4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3">
      <alignment horizontal="left" vertical="center" wrapText="1"/>
      <protection locked="0" hidden="0"/>
    </xf>
    <xf numFmtId="169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172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3">
      <alignment horizontal="center" vertical="center" wrapText="1"/>
      <protection locked="0" hidden="0"/>
    </xf>
    <xf numFmtId="172" fontId="8" fillId="8" borderId="2" applyAlignment="1" applyProtection="1" pivotButton="0" quotePrefix="0" xfId="3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164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e">
        <v>#VALUE!</v>
      </c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n">
        <v>0</v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2026-07-08</t>
        </is>
      </c>
      <c r="Q3" s="22" t="n"/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/>
      <c r="D10" s="39" t="n"/>
      <c r="E10" s="39" t="n"/>
      <c r="F10" s="39" t="n"/>
      <c r="G10" s="40" t="n"/>
      <c r="H10" s="26" t="inlineStr">
        <is>
          <t>N/A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/>
      <c r="I12" s="45" t="n"/>
      <c r="J12" s="46" t="n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CONCATENATE(E22,"/",E49,"/",E76)</f>
        <v/>
      </c>
      <c r="D13" s="24" t="n"/>
      <c r="E13" s="24" t="n"/>
      <c r="F13" s="25" t="n"/>
      <c r="G13" s="43" t="n"/>
      <c r="H13" s="44" t="inlineStr"/>
      <c r="I13" s="45" t="n"/>
      <c r="J13" s="41" t="n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/>
      <c r="I14" s="45" t="n"/>
      <c r="J14" s="41" t="n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/>
      <c r="D15" s="24" t="n"/>
      <c r="E15" s="24" t="n"/>
      <c r="F15" s="25" t="n"/>
      <c r="G15" s="43" t="n"/>
      <c r="H15" s="44" t="inlineStr"/>
      <c r="I15" s="45" t="n"/>
      <c r="J15" s="41" t="n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/>
      <c r="D16" s="24" t="n"/>
      <c r="E16" s="24" t="n"/>
      <c r="F16" s="25" t="n"/>
      <c r="G16" s="43" t="n"/>
      <c r="H16" s="44" t="inlineStr"/>
      <c r="I16" s="45" t="n"/>
      <c r="J16" s="41" t="n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GEN-NAT-00021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SSS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0.12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0.01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0.2380952380952381</v>
      </c>
      <c r="H26" s="69" t="n">
        <v>1.25</v>
      </c>
      <c r="I26" s="70" t="n">
        <v>0</v>
      </c>
      <c r="J26" s="70" t="n">
        <v>0</v>
      </c>
      <c r="K26" s="71" t="n">
        <v>0.0125</v>
      </c>
      <c r="L26" s="66" t="n"/>
      <c r="M26" s="72" t="n">
        <v>1</v>
      </c>
      <c r="N26" s="73" t="n">
        <v/>
      </c>
      <c r="O26" s="73" t="n">
        <v/>
      </c>
      <c r="P26" s="73" t="n">
        <v/>
      </c>
      <c r="Q26" s="73" t="n">
        <v/>
      </c>
      <c r="R26" s="74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5" t="n">
        <v>0.3809523809523809</v>
      </c>
      <c r="H27" s="69" t="n">
        <v>2</v>
      </c>
      <c r="I27" s="70" t="n">
        <v>0.7205767050561798</v>
      </c>
      <c r="J27" s="70" t="n">
        <v>0.2745054114499732</v>
      </c>
      <c r="K27" s="71" t="n">
        <v>0.02</v>
      </c>
      <c r="L27" s="76" t="n"/>
      <c r="M27" s="72" t="n">
        <v>2</v>
      </c>
      <c r="N27" s="73" t="n">
        <v/>
      </c>
      <c r="O27" s="73" t="n">
        <v/>
      </c>
      <c r="P27" s="73" t="n">
        <v/>
      </c>
      <c r="Q27" s="73" t="n">
        <v/>
      </c>
      <c r="R27" s="74" t="n"/>
    </row>
    <row r="28" ht="15" customHeight="1">
      <c r="A28" s="66" t="n">
        <v>3</v>
      </c>
      <c r="B28" s="66" t="inlineStr">
        <is>
          <t>GEN-CHM-00016</t>
        </is>
      </c>
      <c r="C28" s="67" t="inlineStr">
        <is>
          <t>SV-PROPYLENE GLYCOL</t>
        </is>
      </c>
      <c r="D28" s="25" t="n"/>
      <c r="E28" s="66" t="inlineStr">
        <is>
          <t>Liquid</t>
        </is>
      </c>
      <c r="F28" s="66" t="inlineStr">
        <is>
          <t>57-55-6</t>
        </is>
      </c>
      <c r="G28" s="75" t="n">
        <v>0.3809523809523809</v>
      </c>
      <c r="H28" s="69" t="n">
        <v>2</v>
      </c>
      <c r="I28" s="70" t="n">
        <v>3.370786516853932</v>
      </c>
      <c r="J28" s="70" t="n">
        <v>1.284109149277688</v>
      </c>
      <c r="K28" s="71" t="n">
        <v>0.02</v>
      </c>
      <c r="L28" s="76" t="n"/>
      <c r="M28" s="72" t="n">
        <v>2</v>
      </c>
      <c r="N28" s="73" t="n">
        <v/>
      </c>
      <c r="O28" s="73" t="n">
        <v/>
      </c>
      <c r="P28" s="73" t="n">
        <v/>
      </c>
      <c r="Q28" s="73" t="n">
        <v/>
      </c>
      <c r="R28" s="74" t="n"/>
    </row>
    <row r="29" ht="15" customHeight="1">
      <c r="A29" s="66" t="n"/>
      <c r="B29" s="66" t="n"/>
      <c r="C29" s="67" t="n"/>
      <c r="D29" s="25" t="n"/>
      <c r="E29" s="66" t="n"/>
      <c r="F29" s="66" t="n"/>
      <c r="G29" s="75" t="n"/>
      <c r="H29" s="69" t="n"/>
      <c r="I29" s="70" t="n"/>
      <c r="J29" s="70" t="n"/>
      <c r="K29" s="71" t="n"/>
      <c r="L29" s="76" t="n"/>
      <c r="M29" s="72" t="n"/>
      <c r="N29" s="73" t="n"/>
      <c r="O29" s="73" t="n"/>
      <c r="P29" s="73" t="n"/>
      <c r="Q29" s="73" t="n"/>
      <c r="R29" s="74" t="n"/>
    </row>
    <row r="30" ht="32" customHeight="1">
      <c r="A30" s="66" t="n"/>
      <c r="B30" s="77" t="n"/>
      <c r="C30" s="78" t="n"/>
      <c r="D30" s="25" t="n"/>
      <c r="E30" s="66" t="n"/>
      <c r="F30" s="66" t="n"/>
      <c r="G30" s="75" t="n"/>
      <c r="H30" s="69" t="n"/>
      <c r="I30" s="79" t="n"/>
      <c r="J30" s="70" t="n"/>
      <c r="K30" s="71" t="n"/>
      <c r="L30" s="66" t="n"/>
      <c r="M30" s="72" t="n"/>
      <c r="N30" s="73" t="n"/>
      <c r="O30" s="73" t="n"/>
      <c r="P30" s="73" t="n"/>
      <c r="Q30" s="73" t="n"/>
      <c r="R30" s="74" t="n"/>
    </row>
    <row r="31" ht="14.5" customHeight="1">
      <c r="A31" s="80" t="inlineStr">
        <is>
          <t>Total</t>
        </is>
      </c>
      <c r="B31" s="24" t="n"/>
      <c r="C31" s="24" t="n"/>
      <c r="D31" s="24" t="n"/>
      <c r="E31" s="24" t="n"/>
      <c r="F31" s="25" t="n"/>
      <c r="G31" s="81">
        <f>SUM(G26:G30)</f>
        <v/>
      </c>
      <c r="H31" s="82">
        <f>SUM(H26:H30)</f>
        <v/>
      </c>
      <c r="I31" s="83" t="n"/>
      <c r="J31" s="84">
        <f>SUM(J26:J30)</f>
        <v/>
      </c>
      <c r="K31" s="85">
        <f>SUM(K26:K30)</f>
        <v/>
      </c>
      <c r="L31" s="86" t="n"/>
      <c r="M31" s="87" t="n"/>
      <c r="N31" s="87" t="n"/>
      <c r="O31" s="87" t="n"/>
      <c r="P31" s="87" t="n"/>
      <c r="Q31" s="88" t="n"/>
      <c r="R31" s="89" t="n"/>
    </row>
    <row r="32" ht="15" customHeight="1">
      <c r="A32" s="31" t="n"/>
      <c r="B32" s="31" t="n"/>
      <c r="C32" s="31" t="n"/>
      <c r="D32" s="31" t="n"/>
      <c r="E32" s="31" t="n"/>
      <c r="F32" s="31" t="n"/>
      <c r="G32" s="90" t="n"/>
      <c r="H32" s="91" t="n"/>
      <c r="I32" s="92" t="n"/>
      <c r="J32" s="92" t="n"/>
      <c r="K32" s="91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>
        <v>1</v>
      </c>
      <c r="B39" s="66" t="inlineStr">
        <is>
          <t>GEN-CHM-00015</t>
        </is>
      </c>
      <c r="C39" s="67" t="inlineStr">
        <is>
          <t>INVERT SUGAR</t>
        </is>
      </c>
      <c r="D39" s="25" t="n"/>
      <c r="E39" s="66" t="inlineStr">
        <is>
          <t>Liquid</t>
        </is>
      </c>
      <c r="F39" s="66" t="inlineStr">
        <is>
          <t>8013-17-0</t>
        </is>
      </c>
      <c r="G39" s="68" t="n">
        <v>0.2222222222222222</v>
      </c>
      <c r="H39" s="69" t="n">
        <v>2</v>
      </c>
      <c r="I39" s="70" t="n">
        <v>0.7205767050561798</v>
      </c>
      <c r="J39" s="70" t="n">
        <v>0.1601281566791511</v>
      </c>
      <c r="K39" s="71" t="n">
        <v>0.02</v>
      </c>
      <c r="L39" s="66" t="n"/>
      <c r="M39" s="72" t="n">
        <v>1</v>
      </c>
      <c r="N39" s="73" t="n"/>
      <c r="O39" s="73" t="n"/>
      <c r="P39" s="73" t="n"/>
      <c r="Q39" s="73" t="inlineStr">
        <is>
          <t>Magnetic stirrer. Start mixing base materials till uniform.</t>
        </is>
      </c>
      <c r="R39" s="14" t="n"/>
    </row>
    <row r="40" ht="16" customHeight="1">
      <c r="A40" s="66" t="n">
        <v>2</v>
      </c>
      <c r="B40" s="66" t="inlineStr">
        <is>
          <t>GEN-CHM-00016</t>
        </is>
      </c>
      <c r="C40" s="67" t="inlineStr">
        <is>
          <t>SV-PROPYLENE GLYCOL</t>
        </is>
      </c>
      <c r="D40" s="25" t="n"/>
      <c r="E40" s="66" t="inlineStr">
        <is>
          <t>Liquid</t>
        </is>
      </c>
      <c r="F40" s="66" t="inlineStr">
        <is>
          <t>57-55-6</t>
        </is>
      </c>
      <c r="G40" s="75" t="n">
        <v>0.2222222222222222</v>
      </c>
      <c r="H40" s="69" t="n">
        <v>2</v>
      </c>
      <c r="I40" s="70" t="n">
        <v>3.370786516853932</v>
      </c>
      <c r="J40" s="70" t="n">
        <v>0.749063670411985</v>
      </c>
      <c r="K40" s="71" t="n">
        <v>0.02</v>
      </c>
      <c r="L40" s="76" t="n"/>
      <c r="M40" s="72" t="n">
        <v>2</v>
      </c>
      <c r="N40" s="73" t="n"/>
      <c r="O40" s="73" t="n"/>
      <c r="P40" s="73" t="n"/>
      <c r="Q40" s="73" t="inlineStr">
        <is>
          <t>Add material in sequence 2. Mix until uniform.</t>
        </is>
      </c>
      <c r="R40" s="14" t="n"/>
    </row>
    <row r="41" ht="15" customHeight="1">
      <c r="A41" s="66" t="n">
        <v>3</v>
      </c>
      <c r="B41" s="66" t="inlineStr">
        <is>
          <t>GEN-WA-00001</t>
        </is>
      </c>
      <c r="C41" s="67" t="inlineStr">
        <is>
          <t>WATER</t>
        </is>
      </c>
      <c r="D41" s="25" t="n"/>
      <c r="E41" s="66" t="n">
        <v/>
      </c>
      <c r="F41" s="66" t="n">
        <v/>
      </c>
      <c r="G41" s="75" t="n">
        <v>0.5555555555555556</v>
      </c>
      <c r="H41" s="69" t="n">
        <v>5</v>
      </c>
      <c r="I41" s="70" t="n">
        <v>0</v>
      </c>
      <c r="J41" s="70" t="n">
        <v>0</v>
      </c>
      <c r="K41" s="71" t="n">
        <v>0.05</v>
      </c>
      <c r="L41" s="76" t="n"/>
      <c r="M41" s="72" t="n">
        <v>3</v>
      </c>
      <c r="N41" s="73" t="n"/>
      <c r="O41" s="73" t="n"/>
      <c r="P41" s="73" t="n"/>
      <c r="Q41" s="73" t="inlineStr">
        <is>
          <t>Add material in sequence 3. Mix until uniform.</t>
        </is>
      </c>
      <c r="R41" s="14" t="n"/>
    </row>
    <row r="42" ht="15" customHeight="1">
      <c r="A42" s="66" t="n"/>
      <c r="B42" s="66" t="n"/>
      <c r="C42" s="67" t="n"/>
      <c r="D42" s="25" t="n"/>
      <c r="E42" s="66" t="n"/>
      <c r="F42" s="66" t="n"/>
      <c r="G42" s="75" t="n"/>
      <c r="H42" s="69" t="n"/>
      <c r="I42" s="70" t="n"/>
      <c r="J42" s="70" t="n"/>
      <c r="K42" s="71" t="n"/>
      <c r="L42" s="76" t="n"/>
      <c r="M42" s="72" t="n"/>
      <c r="N42" s="73" t="n"/>
      <c r="O42" s="73" t="n"/>
      <c r="P42" s="73" t="n"/>
      <c r="Q42" s="73" t="n"/>
      <c r="R42" s="14" t="n"/>
    </row>
    <row r="43" ht="15" customHeight="1">
      <c r="A43" s="66" t="n"/>
      <c r="B43" s="77" t="n"/>
      <c r="C43" s="78" t="n"/>
      <c r="D43" s="25" t="n"/>
      <c r="E43" s="66" t="n"/>
      <c r="F43" s="66" t="n"/>
      <c r="G43" s="75" t="n"/>
      <c r="H43" s="69" t="n"/>
      <c r="I43" s="79" t="n"/>
      <c r="J43" s="70" t="n"/>
      <c r="K43" s="71" t="n"/>
      <c r="L43" s="66" t="n"/>
      <c r="M43" s="72" t="n"/>
      <c r="N43" s="73" t="n"/>
      <c r="O43" s="73" t="n"/>
      <c r="P43" s="73" t="n"/>
      <c r="Q43" s="73" t="n"/>
      <c r="R43" s="14" t="n"/>
    </row>
    <row r="44" ht="14.5" customHeight="1">
      <c r="A44" s="80" t="inlineStr">
        <is>
          <t>Total</t>
        </is>
      </c>
      <c r="B44" s="24" t="n"/>
      <c r="C44" s="24" t="n"/>
      <c r="D44" s="24" t="n"/>
      <c r="E44" s="24" t="n"/>
      <c r="F44" s="25" t="n"/>
      <c r="G44" s="81">
        <f>SUM(G39:G43)</f>
        <v/>
      </c>
      <c r="H44" s="82">
        <f>SUM(H39:H43)</f>
        <v/>
      </c>
      <c r="I44" s="83" t="n"/>
      <c r="J44" s="84">
        <f>SUM(J39:J43)</f>
        <v/>
      </c>
      <c r="K44" s="85">
        <f>SUM(K39:K43)</f>
        <v/>
      </c>
      <c r="L44" s="86" t="n"/>
      <c r="M44" s="87" t="n"/>
      <c r="N44" s="87" t="n"/>
      <c r="O44" s="87" t="n"/>
      <c r="P44" s="87" t="n"/>
      <c r="Q44" s="87" t="n"/>
      <c r="R44" s="14" t="n"/>
    </row>
    <row r="45" ht="15" customHeight="1">
      <c r="A45" s="38" t="n"/>
      <c r="B45" s="38" t="n"/>
      <c r="C45" s="93" t="n"/>
      <c r="D45" s="93" t="n"/>
      <c r="E45" s="93" t="n"/>
      <c r="F45" s="93" t="n"/>
      <c r="G45" s="94" t="n"/>
      <c r="H45" s="95" t="n"/>
      <c r="I45" s="96" t="n"/>
      <c r="J45" s="96" t="n"/>
      <c r="K45" s="95" t="n"/>
      <c r="L45" s="93" t="n"/>
      <c r="M45" s="93" t="n"/>
      <c r="N45" s="93" t="n"/>
      <c r="O45" s="93" t="n"/>
      <c r="P45" s="93" t="n"/>
      <c r="Q45" s="93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97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98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99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/>
      <c r="B52" s="77" t="n"/>
      <c r="C52" s="67" t="n"/>
      <c r="D52" s="25" t="n"/>
      <c r="E52" s="66" t="n"/>
      <c r="F52" s="66" t="n"/>
      <c r="G52" s="68" t="n"/>
      <c r="H52" s="100" t="n"/>
      <c r="I52" s="70" t="n"/>
      <c r="J52" s="70" t="n"/>
      <c r="K52" s="71" t="n"/>
      <c r="L52" s="66" t="n"/>
      <c r="M52" s="66" t="n"/>
      <c r="N52" s="66" t="n"/>
      <c r="O52" s="66" t="n"/>
      <c r="P52" s="66" t="n"/>
      <c r="Q52" s="66" t="n"/>
      <c r="R52" s="14" t="n"/>
    </row>
    <row r="53" ht="14.5" customHeight="1">
      <c r="A53" s="66" t="n"/>
      <c r="B53" s="77" t="n"/>
      <c r="C53" s="67" t="n"/>
      <c r="D53" s="25" t="n"/>
      <c r="E53" s="66" t="n"/>
      <c r="F53" s="66" t="n"/>
      <c r="G53" s="68" t="n"/>
      <c r="H53" s="100" t="n"/>
      <c r="I53" s="70" t="n"/>
      <c r="J53" s="70" t="n"/>
      <c r="K53" s="71" t="n"/>
      <c r="L53" s="76" t="n"/>
      <c r="M53" s="66" t="n"/>
      <c r="N53" s="66" t="n"/>
      <c r="O53" s="66" t="n"/>
      <c r="P53" s="66" t="n"/>
      <c r="Q53" s="66" t="n"/>
      <c r="R53" s="14" t="n"/>
    </row>
    <row r="54" ht="14.5" customHeight="1">
      <c r="A54" s="80" t="inlineStr">
        <is>
          <t>Total</t>
        </is>
      </c>
      <c r="B54" s="24" t="n"/>
      <c r="C54" s="24" t="n"/>
      <c r="D54" s="24" t="n"/>
      <c r="E54" s="24" t="n"/>
      <c r="F54" s="25" t="n"/>
      <c r="G54" s="101">
        <f>SUM(G52:G53)</f>
        <v/>
      </c>
      <c r="H54" s="82">
        <f>SUM(H52:H53)</f>
        <v/>
      </c>
      <c r="I54" s="102" t="n"/>
      <c r="J54" s="103">
        <f>SUM(J52:J53)</f>
        <v/>
      </c>
      <c r="K54" s="85">
        <f>SUM(K52:K53)</f>
        <v/>
      </c>
      <c r="L54" s="86" t="n"/>
      <c r="M54" s="87" t="n"/>
      <c r="N54" s="87" t="n"/>
      <c r="O54" s="87" t="n"/>
      <c r="P54" s="87" t="n"/>
      <c r="Q54" s="87" t="n"/>
      <c r="R54" s="14" t="n"/>
    </row>
    <row r="55" ht="32.75" customHeight="1">
      <c r="A55" s="104" t="n"/>
      <c r="B55" s="105" t="n"/>
      <c r="C55" s="105" t="n"/>
      <c r="D55" s="105" t="n"/>
      <c r="E55" s="105" t="n"/>
      <c r="F55" s="105" t="n"/>
      <c r="G55" s="106" t="n"/>
      <c r="H55" s="107" t="n"/>
      <c r="I55" s="108" t="n"/>
      <c r="J55" s="108" t="n"/>
      <c r="K55" s="107" t="n"/>
      <c r="L55" s="105" t="n"/>
      <c r="M55" s="105" t="n"/>
      <c r="N55" s="105" t="n"/>
      <c r="O55" s="105" t="n"/>
      <c r="P55" s="105" t="n"/>
      <c r="Q55" s="105" t="n"/>
      <c r="R55" s="14" t="n"/>
    </row>
    <row r="56" ht="48" customHeight="1">
      <c r="A56" s="62" t="inlineStr">
        <is>
          <t>No</t>
        </is>
      </c>
      <c r="B56" s="62" t="inlineStr">
        <is>
          <t>Casing &amp; Top Flavor
NAV Item Code</t>
        </is>
      </c>
      <c r="C56" s="109" t="inlineStr">
        <is>
          <t>Application Amount
(mg/stick)</t>
        </is>
      </c>
      <c r="D56" s="62" t="inlineStr">
        <is>
          <t>Blend Ratio</t>
        </is>
      </c>
      <c r="E56" s="110" t="n"/>
      <c r="F56" s="110" t="n"/>
      <c r="G56" s="111" t="inlineStr">
        <is>
          <t>Price
(USD/KG)</t>
        </is>
      </c>
      <c r="H56" s="112" t="inlineStr">
        <is>
          <t>1,000 Sticks Price
(USD)</t>
        </is>
      </c>
      <c r="I56" s="113" t="n"/>
      <c r="J56" s="113" t="n"/>
      <c r="K56" s="114" t="n"/>
      <c r="L56" s="110" t="n"/>
      <c r="M56" s="110" t="n"/>
      <c r="N56" s="110" t="n"/>
      <c r="O56" s="110" t="n"/>
      <c r="P56" s="110" t="n"/>
      <c r="Q56" s="38" t="n"/>
      <c r="R56" s="14" t="n"/>
    </row>
    <row r="57" ht="33" customHeight="1">
      <c r="A57" s="66" t="n">
        <v>1</v>
      </c>
      <c r="B57" s="42" t="inlineStr">
        <is>
          <t>Casing Rajangan</t>
        </is>
      </c>
      <c r="C57" s="115">
        <f>E22</f>
        <v/>
      </c>
      <c r="D57" s="116">
        <f>H31</f>
        <v/>
      </c>
      <c r="E57" s="117">
        <f>E23</f>
        <v/>
      </c>
      <c r="F57" s="110">
        <f>K31</f>
        <v/>
      </c>
      <c r="G57" s="118">
        <f>J31</f>
        <v/>
      </c>
      <c r="H57" s="119" t="n"/>
      <c r="I57" s="113" t="n"/>
      <c r="J57" s="113" t="n"/>
      <c r="K57" s="120" t="n"/>
      <c r="L57" s="110" t="n"/>
      <c r="M57" s="110" t="n"/>
      <c r="N57" s="110" t="n"/>
      <c r="O57" s="110" t="n"/>
      <c r="P57" s="110" t="n"/>
      <c r="Q57" s="38" t="n"/>
      <c r="R57" s="14" t="n"/>
    </row>
    <row r="58" ht="36.75" customHeight="1">
      <c r="A58" s="66" t="n">
        <v>2</v>
      </c>
      <c r="B58" s="42" t="inlineStr">
        <is>
          <t>Casing Krosok</t>
        </is>
      </c>
      <c r="C58" s="115">
        <f>E35</f>
        <v/>
      </c>
      <c r="D58" s="116">
        <f>H44</f>
        <v/>
      </c>
      <c r="E58" s="117">
        <f>E36</f>
        <v/>
      </c>
      <c r="F58" s="110">
        <f>K44</f>
        <v/>
      </c>
      <c r="G58" s="118">
        <f>J44</f>
        <v/>
      </c>
      <c r="H58" s="119" t="n"/>
      <c r="I58" s="113" t="n"/>
      <c r="J58" s="113" t="n"/>
      <c r="K58" s="120" t="n"/>
      <c r="L58" s="110" t="n"/>
      <c r="M58" s="110" t="n"/>
      <c r="N58" s="110" t="n"/>
      <c r="O58" s="110" t="n"/>
      <c r="P58" s="110" t="n"/>
      <c r="Q58" s="38" t="n"/>
      <c r="R58" s="14" t="n"/>
    </row>
    <row r="59" ht="28.25" customHeight="1">
      <c r="A59" s="66" t="n">
        <v>3</v>
      </c>
      <c r="B59" s="42" t="inlineStr">
        <is>
          <t>Top Flavor</t>
        </is>
      </c>
      <c r="C59" s="115">
        <f>E48</f>
        <v/>
      </c>
      <c r="D59" s="116">
        <f>H54</f>
        <v/>
      </c>
      <c r="E59" s="117">
        <f>E49</f>
        <v/>
      </c>
      <c r="F59" s="110">
        <f>K54</f>
        <v/>
      </c>
      <c r="G59" s="118">
        <f>J54</f>
        <v/>
      </c>
      <c r="H59" s="119" t="n"/>
      <c r="I59" s="113" t="n"/>
      <c r="J59" s="113" t="n"/>
      <c r="K59" s="120" t="n"/>
      <c r="L59" s="110" t="n"/>
      <c r="M59" s="110" t="n"/>
      <c r="N59" s="110" t="n"/>
      <c r="O59" s="110" t="n"/>
      <c r="P59" s="110" t="n"/>
      <c r="Q59" s="38" t="n"/>
      <c r="R59" s="14" t="n"/>
    </row>
    <row r="60" ht="28.25" customHeight="1">
      <c r="A60" s="110" t="inlineStr">
        <is>
          <t>Total Price</t>
        </is>
      </c>
      <c r="B60" s="121" t="n"/>
      <c r="C60" s="110" t="n"/>
      <c r="D60" s="122" t="n"/>
      <c r="E60" s="110" t="n"/>
      <c r="F60" s="110" t="n"/>
      <c r="G60" s="123">
        <f>SUM(G57:G59)</f>
        <v/>
      </c>
      <c r="H60" s="124" t="inlineStr">
        <is>
          <t>USD/1,000 sticks</t>
        </is>
      </c>
      <c r="I60" s="113" t="n"/>
      <c r="J60" s="113" t="n"/>
      <c r="K60" s="114" t="n"/>
      <c r="L60" s="110" t="n"/>
      <c r="M60" s="110" t="n"/>
      <c r="N60" s="110" t="n"/>
      <c r="O60" s="110" t="n"/>
      <c r="P60" s="110" t="n"/>
      <c r="Q60" s="38" t="n"/>
      <c r="R60" s="14" t="n"/>
    </row>
    <row r="61" ht="15" customHeight="1">
      <c r="A61" s="110" t="n"/>
      <c r="B61" s="110" t="n"/>
      <c r="C61" s="110" t="n"/>
      <c r="D61" s="110" t="n"/>
      <c r="E61" s="110" t="n"/>
      <c r="F61" s="110" t="n"/>
      <c r="G61" s="125" t="n"/>
      <c r="H61" s="114" t="n"/>
      <c r="I61" s="126" t="n"/>
      <c r="J61" s="126" t="n"/>
      <c r="K61" s="114" t="n"/>
      <c r="L61" s="110" t="n"/>
      <c r="M61" s="110" t="n"/>
      <c r="N61" s="110" t="n"/>
      <c r="O61" s="110" t="n"/>
      <c r="P61" s="110" t="n"/>
      <c r="Q61" s="110" t="n"/>
      <c r="R61" s="14" t="n"/>
    </row>
    <row r="62" ht="15" customHeight="1">
      <c r="A62" s="110" t="n"/>
      <c r="B62" s="110" t="n"/>
      <c r="C62" s="110" t="n"/>
      <c r="D62" s="110" t="n"/>
      <c r="E62" s="110" t="n"/>
      <c r="F62" s="110" t="n"/>
      <c r="G62" s="125" t="n"/>
      <c r="H62" s="114" t="n"/>
      <c r="I62" s="126" t="n"/>
      <c r="J62" s="126" t="n"/>
      <c r="K62" s="114" t="n"/>
      <c r="L62" s="110" t="n"/>
      <c r="M62" s="110" t="n"/>
      <c r="N62" s="110" t="n"/>
      <c r="O62" s="110" t="n"/>
      <c r="P62" s="110" t="n"/>
      <c r="Q62" s="110" t="n"/>
      <c r="R62" s="14" t="n"/>
    </row>
    <row r="63" ht="15.75" customHeight="1">
      <c r="A63" s="127" t="inlineStr">
        <is>
          <t>Prepared By</t>
        </is>
      </c>
      <c r="B63" s="24" t="n"/>
      <c r="C63" s="24" t="n"/>
      <c r="D63" s="24" t="n"/>
      <c r="E63" s="24" t="n"/>
      <c r="F63" s="128" t="inlineStr">
        <is>
          <t>Reviewed By</t>
        </is>
      </c>
      <c r="G63" s="24" t="n"/>
      <c r="H63" s="24" t="n"/>
      <c r="I63" s="24" t="n"/>
      <c r="J63" s="24" t="n"/>
      <c r="K63" s="24" t="n"/>
      <c r="L63" s="25" t="n"/>
      <c r="M63" s="128" t="inlineStr">
        <is>
          <t>Appoved By</t>
        </is>
      </c>
      <c r="N63" s="24" t="n"/>
      <c r="O63" s="24" t="n"/>
      <c r="P63" s="24" t="n"/>
      <c r="Q63" s="25" t="n"/>
      <c r="R63" s="14" t="n"/>
    </row>
    <row r="64" ht="15" customHeight="1">
      <c r="A64" s="129" t="inlineStr">
        <is>
          <t>Position : Flavourist</t>
        </is>
      </c>
      <c r="B64" s="11" t="n"/>
      <c r="C64" s="11" t="n"/>
      <c r="D64" s="11" t="n"/>
      <c r="E64" s="9" t="n"/>
      <c r="F64" s="129" t="inlineStr">
        <is>
          <t>Position : Senior Manager - Flavourist</t>
        </is>
      </c>
      <c r="G64" s="11" t="n"/>
      <c r="H64" s="11" t="n"/>
      <c r="I64" s="11" t="n"/>
      <c r="J64" s="11" t="n"/>
      <c r="K64" s="11" t="n"/>
      <c r="L64" s="9" t="n"/>
      <c r="M64" s="129" t="inlineStr">
        <is>
          <t>Position : Head, Flavour PDI</t>
        </is>
      </c>
      <c r="N64" s="11" t="n"/>
      <c r="O64" s="11" t="n"/>
      <c r="P64" s="11" t="n"/>
      <c r="Q64" s="9" t="n"/>
      <c r="R64" s="14" t="n"/>
    </row>
    <row r="65" ht="15" customHeight="1">
      <c r="A65" s="130" t="inlineStr">
        <is>
          <t>Lyla Isro</t>
        </is>
      </c>
      <c r="B65" s="17" t="n"/>
      <c r="C65" s="17" t="n"/>
      <c r="D65" s="17" t="n"/>
      <c r="E65" s="16" t="n"/>
      <c r="F65" s="130" t="n"/>
      <c r="G65" s="17" t="n"/>
      <c r="H65" s="17" t="n"/>
      <c r="I65" s="17" t="n"/>
      <c r="J65" s="17" t="n"/>
      <c r="K65" s="17" t="n"/>
      <c r="L65" s="16" t="n"/>
      <c r="M65" s="130" t="n"/>
      <c r="N65" s="17" t="n"/>
      <c r="O65" s="17" t="n"/>
      <c r="P65" s="17" t="n"/>
      <c r="Q65" s="16" t="n"/>
      <c r="R65" s="14" t="n"/>
    </row>
    <row r="66" ht="14.75" customHeight="1">
      <c r="A66" s="131" t="n">
        <v>46210</v>
      </c>
      <c r="B66" s="21" t="n"/>
      <c r="C66" s="21" t="n"/>
      <c r="D66" s="21" t="n"/>
      <c r="E66" s="20" t="n"/>
      <c r="F66" s="132" t="n"/>
      <c r="G66" s="21" t="n"/>
      <c r="H66" s="21" t="n"/>
      <c r="I66" s="21" t="n"/>
      <c r="J66" s="21" t="n"/>
      <c r="K66" s="21" t="n"/>
      <c r="L66" s="20" t="n"/>
      <c r="M66" s="132" t="n"/>
      <c r="N66" s="21" t="n"/>
      <c r="O66" s="21" t="n"/>
      <c r="P66" s="21" t="n"/>
      <c r="Q66" s="20" t="n"/>
      <c r="R66" s="14" t="n"/>
    </row>
    <row r="67" ht="15" customHeight="1">
      <c r="A67" s="133" t="inlineStr">
        <is>
          <t xml:space="preserve">Signature : </t>
        </is>
      </c>
      <c r="B67" s="11" t="n"/>
      <c r="C67" s="11" t="n"/>
      <c r="D67" s="11" t="n"/>
      <c r="E67" s="134" t="n"/>
      <c r="F67" s="135" t="inlineStr">
        <is>
          <t>Signature:</t>
        </is>
      </c>
      <c r="G67" s="136" t="n"/>
      <c r="H67" s="95" t="n"/>
      <c r="I67" s="96" t="n"/>
      <c r="J67" s="137" t="n"/>
      <c r="K67" s="138" t="n"/>
      <c r="L67" s="139" t="n"/>
      <c r="M67" s="134" t="n"/>
      <c r="N67" s="134" t="n"/>
      <c r="O67" s="134" t="n"/>
      <c r="P67" s="134" t="n"/>
      <c r="Q67" s="139" t="n"/>
      <c r="R67" s="14" t="n"/>
    </row>
    <row r="68" ht="14.5" customHeight="1">
      <c r="A68" s="140" t="n"/>
      <c r="B68" s="121" t="n"/>
      <c r="C68" s="121" t="n"/>
      <c r="D68" s="121" t="n"/>
      <c r="E68" s="121" t="n"/>
      <c r="F68" s="140" t="n"/>
      <c r="G68" s="141" t="n"/>
      <c r="H68" s="142" t="n"/>
      <c r="I68" s="143" t="n"/>
      <c r="J68" s="143" t="n"/>
      <c r="K68" s="142" t="n"/>
      <c r="L68" s="144" t="n"/>
      <c r="M68" s="121" t="n"/>
      <c r="N68" s="121" t="n"/>
      <c r="O68" s="121" t="n"/>
      <c r="P68" s="121" t="n"/>
      <c r="Q68" s="144" t="n"/>
      <c r="R68" s="14" t="n"/>
    </row>
    <row r="69" ht="14.5" customHeight="1">
      <c r="A69" s="140" t="n"/>
      <c r="B69" s="121" t="n"/>
      <c r="C69" s="121" t="n"/>
      <c r="D69" s="121" t="n"/>
      <c r="E69" s="121" t="n"/>
      <c r="F69" s="140" t="n"/>
      <c r="G69" s="141" t="n"/>
      <c r="H69" s="142" t="n"/>
      <c r="I69" s="143" t="n"/>
      <c r="J69" s="143" t="n"/>
      <c r="K69" s="142" t="n"/>
      <c r="L69" s="144" t="n"/>
      <c r="M69" s="121" t="n"/>
      <c r="N69" s="121" t="n"/>
      <c r="O69" s="121" t="n"/>
      <c r="P69" s="121" t="n"/>
      <c r="Q69" s="144" t="n"/>
      <c r="R69" s="14" t="n"/>
    </row>
    <row r="70" ht="14.5" customHeight="1">
      <c r="A70" s="145" t="n"/>
      <c r="B70" s="146" t="n"/>
      <c r="C70" s="146" t="n"/>
      <c r="D70" s="146" t="n"/>
      <c r="E70" s="146" t="n"/>
      <c r="F70" s="145" t="n"/>
      <c r="G70" s="147" t="n"/>
      <c r="H70" s="148" t="n"/>
      <c r="I70" s="149" t="n"/>
      <c r="J70" s="149" t="n"/>
      <c r="K70" s="148" t="n"/>
      <c r="L70" s="150" t="n"/>
      <c r="M70" s="146" t="n"/>
      <c r="N70" s="146" t="n"/>
      <c r="O70" s="146" t="n"/>
      <c r="P70" s="146" t="n"/>
      <c r="Q70" s="150" t="n"/>
      <c r="R70" s="14" t="n"/>
    </row>
    <row r="71" ht="14.5" customHeight="1">
      <c r="A71" s="121" t="n"/>
      <c r="B71" s="121" t="n"/>
      <c r="C71" s="121" t="n"/>
      <c r="D71" s="121" t="n"/>
      <c r="E71" s="121" t="n"/>
      <c r="F71" s="121" t="n"/>
      <c r="G71" s="141" t="n"/>
      <c r="H71" s="142" t="n"/>
      <c r="I71" s="143" t="n"/>
      <c r="J71" s="143" t="n"/>
      <c r="K71" s="142" t="n"/>
      <c r="L71" s="121" t="n"/>
      <c r="M71" s="121" t="n"/>
      <c r="N71" s="121" t="n"/>
      <c r="O71" s="121" t="n"/>
      <c r="P71" s="121" t="n"/>
      <c r="Q71" s="121" t="n"/>
      <c r="R71" s="14" t="n"/>
    </row>
    <row r="72" ht="14.5" customHeight="1">
      <c r="A72" s="121" t="n"/>
      <c r="B72" s="121" t="n"/>
      <c r="C72" s="121" t="n"/>
      <c r="D72" s="121" t="n"/>
      <c r="E72" s="121" t="n"/>
      <c r="F72" s="121" t="n"/>
      <c r="G72" s="141" t="n"/>
      <c r="H72" s="142" t="n"/>
      <c r="I72" s="143" t="n"/>
      <c r="J72" s="143" t="n"/>
      <c r="K72" s="142" t="n"/>
      <c r="L72" s="121" t="n"/>
      <c r="M72" s="121" t="n"/>
      <c r="N72" s="121" t="n"/>
      <c r="O72" s="121" t="n"/>
      <c r="P72" s="121" t="n"/>
      <c r="Q72" s="121" t="n"/>
      <c r="R72" s="14" t="n"/>
    </row>
    <row r="73" ht="15" customHeight="1">
      <c r="A73" s="151" t="inlineStr">
        <is>
          <t>Casing Pre-Mix Formulation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7" t="n"/>
      <c r="R73" s="14" t="n"/>
    </row>
    <row r="74" ht="15" customHeight="1">
      <c r="A74" s="57" t="inlineStr">
        <is>
          <t>Casing Pre-Mix Formulation NAV Item Code</t>
        </is>
      </c>
      <c r="B74" s="36" t="n"/>
      <c r="C74" s="36" t="n"/>
      <c r="D74" s="37" t="n"/>
      <c r="E74" s="152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Description</t>
        </is>
      </c>
      <c r="B75" s="36" t="n"/>
      <c r="C75" s="36" t="n"/>
      <c r="D75" s="37" t="n"/>
      <c r="E75" s="152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62" t="inlineStr">
        <is>
          <t>No</t>
        </is>
      </c>
      <c r="B76" s="62" t="inlineStr">
        <is>
          <t>Material NAV Item
Code</t>
        </is>
      </c>
      <c r="C76" s="62" t="inlineStr">
        <is>
          <t>Material Name</t>
        </is>
      </c>
      <c r="D76" s="25" t="n"/>
      <c r="E76" s="109" t="inlineStr">
        <is>
          <t>Physical State</t>
        </is>
      </c>
      <c r="F76" s="62" t="inlineStr">
        <is>
          <t>CAS Number</t>
        </is>
      </c>
      <c r="G76" s="153" t="inlineStr">
        <is>
          <t>Ratio
(%)</t>
        </is>
      </c>
      <c r="H76" s="64" t="inlineStr">
        <is>
          <t>Dosage
(mg/stick)</t>
        </is>
      </c>
      <c r="I76" s="65" t="inlineStr">
        <is>
          <t>Material
Price
(USD / KG)</t>
        </is>
      </c>
      <c r="J76" s="65" t="inlineStr">
        <is>
          <t>Formulation
Price 
(USD / KG)</t>
        </is>
      </c>
      <c r="K76" s="64" t="inlineStr">
        <is>
          <t>Dosage
(KG / MC)</t>
        </is>
      </c>
      <c r="L76" s="62" t="inlineStr">
        <is>
          <t>Density</t>
        </is>
      </c>
      <c r="M76" s="62" t="inlineStr">
        <is>
          <t>Addition
Sequence</t>
        </is>
      </c>
      <c r="N76" s="62" t="inlineStr">
        <is>
          <t>Temperature</t>
        </is>
      </c>
      <c r="O76" s="62" t="inlineStr">
        <is>
          <t>Agitation
Rate</t>
        </is>
      </c>
      <c r="P76" s="62" t="inlineStr">
        <is>
          <t>Mixing
Duration</t>
        </is>
      </c>
      <c r="Q76" s="62" t="inlineStr">
        <is>
          <t>Work Instruction</t>
        </is>
      </c>
      <c r="R76" s="14" t="n"/>
    </row>
    <row r="77" ht="14.5" customHeight="1">
      <c r="A77" s="66" t="n"/>
      <c r="B77" s="66" t="n"/>
      <c r="C77" s="67" t="n"/>
      <c r="D77" s="25" t="n"/>
      <c r="E77" s="66" t="n"/>
      <c r="F77" s="66" t="n"/>
      <c r="G77" s="75" t="n"/>
      <c r="H77" s="69" t="n"/>
      <c r="I77" s="70" t="n"/>
      <c r="J77" s="70" t="n"/>
      <c r="K77" s="71" t="n"/>
      <c r="L77" s="66" t="n"/>
      <c r="M77" s="72" t="n"/>
      <c r="N77" s="73" t="n"/>
      <c r="O77" s="73" t="n"/>
      <c r="P77" s="73" t="n"/>
      <c r="Q77" s="73" t="n"/>
      <c r="R77" s="14" t="n"/>
    </row>
    <row r="78">
      <c r="A78" s="66" t="n"/>
      <c r="B78" s="66" t="n"/>
      <c r="C78" s="67" t="n"/>
      <c r="D78" s="25" t="n"/>
      <c r="E78" s="66" t="n"/>
      <c r="F78" s="66" t="n"/>
      <c r="G78" s="75" t="n"/>
      <c r="H78" s="69" t="n"/>
      <c r="I78" s="70" t="n"/>
      <c r="J78" s="70" t="n"/>
      <c r="K78" s="71" t="n"/>
      <c r="L78" s="76" t="n"/>
      <c r="M78" s="72" t="n"/>
      <c r="N78" s="73" t="n"/>
      <c r="O78" s="73" t="n"/>
      <c r="P78" s="73" t="n"/>
      <c r="Q78" s="73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75" t="n"/>
      <c r="H79" s="69" t="n"/>
      <c r="I79" s="70" t="n"/>
      <c r="J79" s="70" t="n"/>
      <c r="K79" s="71" t="n"/>
      <c r="L79" s="76" t="n"/>
      <c r="M79" s="72" t="n"/>
      <c r="N79" s="73" t="n"/>
      <c r="O79" s="73" t="n"/>
      <c r="P79" s="73" t="n"/>
      <c r="Q79" s="73" t="n"/>
      <c r="R79" s="14" t="n"/>
    </row>
    <row r="80">
      <c r="A80" s="66" t="n"/>
      <c r="B80" s="66" t="n"/>
      <c r="C80" s="67" t="n"/>
      <c r="D80" s="25" t="n"/>
      <c r="E80" s="66" t="n"/>
      <c r="F80" s="66" t="n"/>
      <c r="G80" s="75" t="n"/>
      <c r="H80" s="69" t="n"/>
      <c r="I80" s="70" t="n"/>
      <c r="J80" s="70" t="n"/>
      <c r="K80" s="71" t="n"/>
      <c r="L80" s="76" t="n"/>
      <c r="M80" s="72" t="n"/>
      <c r="N80" s="73" t="n"/>
      <c r="O80" s="73" t="n"/>
      <c r="P80" s="73" t="n"/>
      <c r="Q80" s="73" t="n"/>
      <c r="R80" s="14" t="n"/>
    </row>
    <row r="81">
      <c r="A81" s="66" t="n"/>
      <c r="B81" s="66" t="n"/>
      <c r="C81" s="67" t="n"/>
      <c r="D81" s="25" t="n"/>
      <c r="E81" s="66" t="n"/>
      <c r="F81" s="66" t="n"/>
      <c r="G81" s="75" t="n"/>
      <c r="H81" s="69" t="n"/>
      <c r="I81" s="70" t="n"/>
      <c r="J81" s="70" t="n"/>
      <c r="K81" s="71" t="n"/>
      <c r="L81" s="76" t="n"/>
      <c r="M81" s="72" t="n"/>
      <c r="N81" s="73" t="n"/>
      <c r="O81" s="73" t="n"/>
      <c r="P81" s="73" t="n"/>
      <c r="Q81" s="73" t="n"/>
      <c r="R81" s="14" t="n"/>
    </row>
    <row r="82">
      <c r="A82" s="66" t="n"/>
      <c r="B82" s="66" t="n"/>
      <c r="C82" s="67" t="n"/>
      <c r="D82" s="25" t="n"/>
      <c r="E82" s="66" t="n"/>
      <c r="F82" s="66" t="n"/>
      <c r="G82" s="75" t="n"/>
      <c r="H82" s="69" t="n"/>
      <c r="I82" s="70" t="n"/>
      <c r="J82" s="70" t="n"/>
      <c r="K82" s="71" t="n"/>
      <c r="L82" s="76" t="n"/>
      <c r="M82" s="72" t="n"/>
      <c r="N82" s="73" t="n"/>
      <c r="O82" s="73" t="n"/>
      <c r="P82" s="73" t="n"/>
      <c r="Q82" s="73" t="n"/>
      <c r="R82" s="14" t="n"/>
    </row>
    <row r="83">
      <c r="A83" s="66" t="n"/>
      <c r="B83" s="66" t="n"/>
      <c r="C83" s="67" t="n"/>
      <c r="D83" s="25" t="n"/>
      <c r="E83" s="66" t="n"/>
      <c r="F83" s="66" t="n"/>
      <c r="G83" s="75" t="n"/>
      <c r="H83" s="69" t="n"/>
      <c r="I83" s="70" t="n"/>
      <c r="J83" s="70" t="n"/>
      <c r="K83" s="71" t="n"/>
      <c r="L83" s="76" t="n"/>
      <c r="M83" s="72" t="n"/>
      <c r="N83" s="73" t="n"/>
      <c r="O83" s="73" t="n"/>
      <c r="P83" s="73" t="n"/>
      <c r="Q83" s="73" t="n"/>
      <c r="R83" s="14" t="n"/>
    </row>
    <row r="84">
      <c r="A84" s="66" t="n"/>
      <c r="B84" s="66" t="n"/>
      <c r="C84" s="67" t="n"/>
      <c r="D84" s="25" t="n"/>
      <c r="E84" s="66" t="n"/>
      <c r="F84" s="66" t="n"/>
      <c r="G84" s="75" t="n"/>
      <c r="H84" s="69" t="n"/>
      <c r="I84" s="70" t="n"/>
      <c r="J84" s="70" t="n"/>
      <c r="K84" s="71" t="n"/>
      <c r="L84" s="76" t="n"/>
      <c r="M84" s="72" t="n"/>
      <c r="N84" s="73" t="n"/>
      <c r="O84" s="73" t="n"/>
      <c r="P84" s="73" t="n"/>
      <c r="Q84" s="73" t="n"/>
      <c r="R84" s="14" t="n"/>
    </row>
    <row r="85">
      <c r="A85" s="66" t="n"/>
      <c r="B85" s="66" t="n"/>
      <c r="C85" s="67" t="n"/>
      <c r="D85" s="25" t="n"/>
      <c r="E85" s="66" t="n"/>
      <c r="F85" s="66" t="n"/>
      <c r="G85" s="75" t="n"/>
      <c r="H85" s="69" t="n"/>
      <c r="I85" s="70" t="n"/>
      <c r="J85" s="70" t="n"/>
      <c r="K85" s="71" t="n"/>
      <c r="L85" s="76" t="n"/>
      <c r="M85" s="72" t="n"/>
      <c r="N85" s="73" t="n"/>
      <c r="O85" s="73" t="n"/>
      <c r="P85" s="73" t="n"/>
      <c r="Q85" s="73" t="n"/>
      <c r="R85" s="14" t="n"/>
    </row>
    <row r="86">
      <c r="A86" s="66" t="n"/>
      <c r="B86" s="66" t="n"/>
      <c r="C86" s="67" t="n"/>
      <c r="D86" s="25" t="n"/>
      <c r="E86" s="66" t="n"/>
      <c r="F86" s="66" t="n"/>
      <c r="G86" s="75" t="n"/>
      <c r="H86" s="69" t="n"/>
      <c r="I86" s="70" t="n"/>
      <c r="J86" s="70" t="n"/>
      <c r="K86" s="71" t="n"/>
      <c r="L86" s="76" t="n"/>
      <c r="M86" s="72" t="n"/>
      <c r="N86" s="73" t="n"/>
      <c r="O86" s="73" t="n"/>
      <c r="P86" s="73" t="n"/>
      <c r="Q86" s="73" t="n"/>
      <c r="R86" s="14" t="n"/>
    </row>
    <row r="87" ht="14.5" customHeight="1">
      <c r="A87" s="80" t="inlineStr">
        <is>
          <t>Total</t>
        </is>
      </c>
      <c r="B87" s="24" t="n"/>
      <c r="C87" s="24" t="n"/>
      <c r="D87" s="24" t="n"/>
      <c r="E87" s="24" t="n"/>
      <c r="F87" s="25" t="n"/>
      <c r="G87" s="154">
        <f>SUM(G77:G86)</f>
        <v/>
      </c>
      <c r="H87" s="155">
        <f>SUM(H77:H86)</f>
        <v/>
      </c>
      <c r="I87" s="156" t="n"/>
      <c r="J87" s="157">
        <f>SUM(J77:J86)</f>
        <v/>
      </c>
      <c r="K87" s="158">
        <f>SUM(K77:K86)</f>
        <v/>
      </c>
      <c r="L87" s="80" t="n"/>
      <c r="M87" s="159" t="n"/>
      <c r="N87" s="160" t="n"/>
      <c r="O87" s="160" t="n"/>
      <c r="P87" s="160" t="n"/>
      <c r="Q87" s="161" t="n"/>
      <c r="R87" s="14" t="n"/>
    </row>
    <row r="88" ht="15" customHeight="1">
      <c r="A88" s="110" t="n"/>
      <c r="B88" s="110" t="n"/>
      <c r="C88" s="110" t="n"/>
      <c r="D88" s="110" t="n"/>
      <c r="E88" s="110" t="n"/>
      <c r="F88" s="110" t="n"/>
      <c r="G88" s="125" t="n"/>
      <c r="H88" s="114" t="n"/>
      <c r="I88" s="126" t="n"/>
      <c r="J88" s="126" t="n"/>
      <c r="K88" s="114" t="n"/>
      <c r="L88" s="110" t="n"/>
      <c r="M88" s="110" t="n"/>
      <c r="N88" s="110" t="n"/>
      <c r="O88" s="110" t="n"/>
      <c r="P88" s="110" t="n"/>
      <c r="Q88" s="110" t="n"/>
      <c r="R88" s="14" t="n"/>
    </row>
    <row r="89" ht="15" customHeight="1">
      <c r="A89" s="151" t="inlineStr">
        <is>
          <t>Flavor Pre-Mix Formulation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7" t="n"/>
      <c r="R89" s="14" t="n"/>
    </row>
    <row r="90" ht="15" customHeight="1">
      <c r="A90" s="57" t="inlineStr">
        <is>
          <t>Flavor Pre-Mix Formulation NAV Item Code</t>
        </is>
      </c>
      <c r="B90" s="36" t="n"/>
      <c r="C90" s="36" t="n"/>
      <c r="D90" s="37" t="n"/>
      <c r="E90" s="152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Description</t>
        </is>
      </c>
      <c r="B91" s="36" t="n"/>
      <c r="C91" s="36" t="n"/>
      <c r="D91" s="37" t="n"/>
      <c r="E91" s="152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62" t="inlineStr">
        <is>
          <t>No</t>
        </is>
      </c>
      <c r="B92" s="62" t="inlineStr">
        <is>
          <t>Material NAV Item
Code</t>
        </is>
      </c>
      <c r="C92" s="62" t="inlineStr">
        <is>
          <t>Material Name</t>
        </is>
      </c>
      <c r="D92" s="25" t="n"/>
      <c r="E92" s="109" t="inlineStr">
        <is>
          <t>Physical State</t>
        </is>
      </c>
      <c r="F92" s="62" t="inlineStr">
        <is>
          <t>CAS Number</t>
        </is>
      </c>
      <c r="G92" s="63" t="inlineStr">
        <is>
          <t>Ratio
(%)</t>
        </is>
      </c>
      <c r="H92" s="64" t="inlineStr">
        <is>
          <t>Dosage
(mg/stick)</t>
        </is>
      </c>
      <c r="I92" s="65" t="inlineStr">
        <is>
          <t>Material
Price
(USD / KG)</t>
        </is>
      </c>
      <c r="J92" s="65" t="inlineStr">
        <is>
          <t>Formulation
Price 
(USD / KG)</t>
        </is>
      </c>
      <c r="K92" s="64" t="inlineStr">
        <is>
          <t>Dosage
(KG / MC)</t>
        </is>
      </c>
      <c r="L92" s="62" t="inlineStr">
        <is>
          <t>Density</t>
        </is>
      </c>
      <c r="M92" s="62" t="inlineStr">
        <is>
          <t>Addition
Sequence</t>
        </is>
      </c>
      <c r="N92" s="62" t="inlineStr">
        <is>
          <t>Temperature</t>
        </is>
      </c>
      <c r="O92" s="62" t="inlineStr">
        <is>
          <t>Agitation
Rate</t>
        </is>
      </c>
      <c r="P92" s="62" t="inlineStr">
        <is>
          <t>Mixing
Duration</t>
        </is>
      </c>
      <c r="Q92" s="62" t="inlineStr">
        <is>
          <t>Work Instruction</t>
        </is>
      </c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75" t="n"/>
      <c r="H93" s="69" t="n"/>
      <c r="I93" s="162" t="n"/>
      <c r="J93" s="163" t="n"/>
      <c r="K93" s="71" t="n"/>
      <c r="L93" s="67" t="n"/>
      <c r="M93" s="66" t="n"/>
      <c r="N93" s="66" t="n"/>
      <c r="O93" s="66" t="n"/>
      <c r="P93" s="66" t="n"/>
      <c r="Q93" s="73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5" t="n"/>
      <c r="H94" s="69" t="n"/>
      <c r="I94" s="164" t="n"/>
      <c r="J94" s="163" t="n"/>
      <c r="K94" s="71" t="n"/>
      <c r="L94" s="67" t="n"/>
      <c r="M94" s="165" t="n"/>
      <c r="N94" s="73" t="n"/>
      <c r="O94" s="66" t="n"/>
      <c r="P94" s="66" t="n"/>
      <c r="Q94" s="73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5" t="n"/>
      <c r="H95" s="69" t="n"/>
      <c r="I95" s="162" t="n"/>
      <c r="J95" s="163" t="n"/>
      <c r="K95" s="71" t="n"/>
      <c r="L95" s="67" t="n"/>
      <c r="M95" s="165" t="n"/>
      <c r="N95" s="73" t="n"/>
      <c r="O95" s="66" t="n"/>
      <c r="P95" s="66" t="n"/>
      <c r="Q95" s="73" t="n"/>
      <c r="R95" s="14" t="n"/>
    </row>
    <row r="96" ht="14.5" customHeight="1">
      <c r="A96" s="66" t="n"/>
      <c r="B96" s="66" t="n"/>
      <c r="C96" s="33" t="n"/>
      <c r="D96" s="32" t="n"/>
      <c r="E96" s="66" t="n"/>
      <c r="F96" s="66" t="n"/>
      <c r="G96" s="75" t="n"/>
      <c r="H96" s="69" t="n"/>
      <c r="I96" s="162" t="n"/>
      <c r="J96" s="163" t="n"/>
      <c r="K96" s="71" t="n"/>
      <c r="L96" s="67" t="n"/>
      <c r="M96" s="165" t="n"/>
      <c r="N96" s="73" t="n"/>
      <c r="O96" s="66" t="n"/>
      <c r="P96" s="66" t="n"/>
      <c r="Q96" s="73" t="n"/>
      <c r="R96" s="14" t="n"/>
    </row>
    <row r="97" ht="14.5" customHeight="1">
      <c r="A97" s="66" t="n"/>
      <c r="B97" s="66" t="n"/>
      <c r="C97" s="33" t="n"/>
      <c r="D97" s="32" t="n"/>
      <c r="E97" s="66" t="n"/>
      <c r="F97" s="66" t="n"/>
      <c r="G97" s="75" t="n"/>
      <c r="H97" s="69" t="n"/>
      <c r="I97" s="162" t="n"/>
      <c r="J97" s="163" t="n"/>
      <c r="K97" s="71" t="n"/>
      <c r="L97" s="67" t="n"/>
      <c r="M97" s="165" t="n"/>
      <c r="N97" s="73" t="n"/>
      <c r="O97" s="66" t="n"/>
      <c r="P97" s="66" t="n"/>
      <c r="Q97" s="73" t="n"/>
      <c r="R97" s="14" t="n"/>
    </row>
    <row r="98" ht="14.5" customHeight="1">
      <c r="A98" s="66" t="n"/>
      <c r="B98" s="66" t="n"/>
      <c r="C98" s="33" t="n"/>
      <c r="D98" s="32" t="n"/>
      <c r="E98" s="66" t="n"/>
      <c r="F98" s="66" t="n"/>
      <c r="G98" s="75" t="n"/>
      <c r="H98" s="69" t="n"/>
      <c r="I98" s="162" t="n"/>
      <c r="J98" s="163" t="n"/>
      <c r="K98" s="71" t="n"/>
      <c r="L98" s="67" t="n"/>
      <c r="M98" s="165" t="n"/>
      <c r="N98" s="73" t="n"/>
      <c r="O98" s="66" t="n"/>
      <c r="P98" s="66" t="n"/>
      <c r="Q98" s="73" t="n"/>
      <c r="R98" s="14" t="n"/>
    </row>
    <row r="99" ht="14.5" customHeight="1">
      <c r="A99" s="66" t="n"/>
      <c r="B99" s="66" t="n"/>
      <c r="C99" s="33" t="n"/>
      <c r="D99" s="32" t="n"/>
      <c r="E99" s="66" t="n"/>
      <c r="F99" s="66" t="n"/>
      <c r="G99" s="75" t="n"/>
      <c r="H99" s="69" t="n"/>
      <c r="I99" s="162" t="n"/>
      <c r="J99" s="163" t="n"/>
      <c r="K99" s="71" t="n"/>
      <c r="L99" s="67" t="n"/>
      <c r="M99" s="165" t="n"/>
      <c r="N99" s="73" t="n"/>
      <c r="O99" s="66" t="n"/>
      <c r="P99" s="66" t="n"/>
      <c r="Q99" s="73" t="n"/>
      <c r="R99" s="14" t="n"/>
    </row>
    <row r="100" ht="14.5" customHeight="1">
      <c r="A100" s="66" t="n"/>
      <c r="B100" s="66" t="n"/>
      <c r="C100" s="33" t="n"/>
      <c r="D100" s="32" t="n"/>
      <c r="E100" s="66" t="n"/>
      <c r="F100" s="66" t="n"/>
      <c r="G100" s="75" t="n"/>
      <c r="H100" s="69" t="n"/>
      <c r="I100" s="162" t="n"/>
      <c r="J100" s="163" t="n"/>
      <c r="K100" s="71" t="n"/>
      <c r="L100" s="67" t="n"/>
      <c r="M100" s="165" t="n"/>
      <c r="N100" s="66" t="n"/>
      <c r="O100" s="66" t="n"/>
      <c r="P100" s="73" t="n"/>
      <c r="Q100" s="73" t="n"/>
      <c r="R100" s="14" t="n"/>
    </row>
    <row r="101" ht="14.5" customHeight="1">
      <c r="A101" s="66" t="n"/>
      <c r="B101" s="66" t="n"/>
      <c r="C101" s="33" t="n"/>
      <c r="D101" s="32" t="n"/>
      <c r="E101" s="66" t="n"/>
      <c r="F101" s="66" t="n"/>
      <c r="G101" s="75" t="n"/>
      <c r="H101" s="69" t="n"/>
      <c r="I101" s="162" t="n"/>
      <c r="J101" s="163" t="n"/>
      <c r="K101" s="71" t="n"/>
      <c r="L101" s="67" t="n"/>
      <c r="M101" s="165" t="n"/>
      <c r="N101" s="66" t="n"/>
      <c r="O101" s="66" t="n"/>
      <c r="P101" s="73" t="n"/>
      <c r="Q101" s="73" t="n"/>
      <c r="R101" s="14" t="n"/>
    </row>
    <row r="102" ht="14.5" customHeight="1">
      <c r="A102" s="66" t="n"/>
      <c r="B102" s="66" t="n"/>
      <c r="C102" s="33" t="n"/>
      <c r="D102" s="32" t="n"/>
      <c r="E102" s="66" t="n"/>
      <c r="F102" s="66" t="n"/>
      <c r="G102" s="75" t="n"/>
      <c r="H102" s="69" t="n"/>
      <c r="I102" s="162" t="n"/>
      <c r="J102" s="163" t="n"/>
      <c r="K102" s="71" t="n"/>
      <c r="L102" s="67" t="n"/>
      <c r="M102" s="165" t="n"/>
      <c r="N102" s="66" t="n"/>
      <c r="O102" s="66" t="n"/>
      <c r="P102" s="73" t="n"/>
      <c r="Q102" s="73" t="n"/>
      <c r="R102" s="14" t="n"/>
    </row>
    <row r="103" ht="14.5" customHeight="1">
      <c r="A103" s="66" t="n"/>
      <c r="B103" s="66" t="n"/>
      <c r="C103" s="33" t="n"/>
      <c r="D103" s="32" t="n"/>
      <c r="E103" s="66" t="n"/>
      <c r="F103" s="66" t="n"/>
      <c r="G103" s="75" t="n"/>
      <c r="H103" s="69" t="n"/>
      <c r="I103" s="162" t="n"/>
      <c r="J103" s="163" t="n"/>
      <c r="K103" s="71" t="n"/>
      <c r="L103" s="67" t="n"/>
      <c r="M103" s="165" t="n"/>
      <c r="N103" s="66" t="n"/>
      <c r="O103" s="66" t="n"/>
      <c r="P103" s="73" t="n"/>
      <c r="Q103" s="73" t="n"/>
      <c r="R103" s="14" t="n"/>
    </row>
    <row r="104" ht="14.5" customHeight="1">
      <c r="A104" s="66" t="n"/>
      <c r="B104" s="66" t="n"/>
      <c r="C104" s="33" t="n"/>
      <c r="D104" s="32" t="n"/>
      <c r="E104" s="66" t="n"/>
      <c r="F104" s="66" t="n"/>
      <c r="G104" s="75" t="n"/>
      <c r="H104" s="69" t="n"/>
      <c r="I104" s="162" t="n"/>
      <c r="J104" s="163" t="n"/>
      <c r="K104" s="71" t="n"/>
      <c r="L104" s="67" t="n"/>
      <c r="M104" s="165" t="n"/>
      <c r="N104" s="66" t="n"/>
      <c r="O104" s="66" t="n"/>
      <c r="P104" s="73" t="n"/>
      <c r="Q104" s="73" t="n"/>
      <c r="R104" s="14" t="n"/>
    </row>
    <row r="105" ht="14.5" customHeight="1">
      <c r="A105" s="66" t="n"/>
      <c r="B105" s="66" t="n"/>
      <c r="C105" s="33" t="n"/>
      <c r="D105" s="32" t="n"/>
      <c r="E105" s="66" t="n"/>
      <c r="F105" s="66" t="n"/>
      <c r="G105" s="75" t="n"/>
      <c r="H105" s="69" t="n"/>
      <c r="I105" s="162" t="n"/>
      <c r="J105" s="163" t="n"/>
      <c r="K105" s="71" t="n"/>
      <c r="L105" s="67" t="n"/>
      <c r="M105" s="165" t="n"/>
      <c r="N105" s="66" t="n"/>
      <c r="O105" s="66" t="n"/>
      <c r="P105" s="73" t="n"/>
      <c r="Q105" s="73" t="n"/>
      <c r="R105" s="14" t="n"/>
    </row>
    <row r="106" ht="14.5" customHeight="1">
      <c r="A106" s="66" t="n"/>
      <c r="B106" s="66" t="n"/>
      <c r="C106" s="33" t="n"/>
      <c r="D106" s="32" t="n"/>
      <c r="E106" s="66" t="n"/>
      <c r="F106" s="66" t="n"/>
      <c r="G106" s="75" t="n"/>
      <c r="H106" s="69" t="n"/>
      <c r="I106" s="162" t="n"/>
      <c r="J106" s="163" t="n"/>
      <c r="K106" s="71" t="n"/>
      <c r="L106" s="67" t="n"/>
      <c r="M106" s="165" t="n"/>
      <c r="N106" s="66" t="n"/>
      <c r="O106" s="66" t="n"/>
      <c r="P106" s="73" t="n"/>
      <c r="Q106" s="73" t="n"/>
      <c r="R106" s="14" t="n"/>
    </row>
    <row r="107" ht="14.5" customHeight="1">
      <c r="A107" s="66" t="n"/>
      <c r="B107" s="66" t="n"/>
      <c r="C107" s="33" t="n"/>
      <c r="D107" s="32" t="n"/>
      <c r="E107" s="66" t="n"/>
      <c r="F107" s="66" t="n"/>
      <c r="G107" s="75" t="n"/>
      <c r="H107" s="69" t="n"/>
      <c r="I107" s="162" t="n"/>
      <c r="J107" s="163" t="n"/>
      <c r="K107" s="71" t="n"/>
      <c r="L107" s="67" t="n"/>
      <c r="M107" s="165" t="n"/>
      <c r="N107" s="66" t="n"/>
      <c r="O107" s="66" t="n"/>
      <c r="P107" s="73" t="n"/>
      <c r="Q107" s="73" t="n"/>
      <c r="R107" s="14" t="n"/>
    </row>
    <row r="108" ht="14.5" customHeight="1">
      <c r="A108" s="66" t="n"/>
      <c r="B108" s="66" t="n"/>
      <c r="C108" s="33" t="n"/>
      <c r="D108" s="32" t="n"/>
      <c r="E108" s="66" t="n"/>
      <c r="F108" s="66" t="n"/>
      <c r="G108" s="75" t="n"/>
      <c r="H108" s="69" t="n"/>
      <c r="I108" s="162" t="n"/>
      <c r="J108" s="163" t="n"/>
      <c r="K108" s="71" t="n"/>
      <c r="L108" s="67" t="n"/>
      <c r="M108" s="165" t="n"/>
      <c r="N108" s="66" t="n"/>
      <c r="O108" s="66" t="n"/>
      <c r="P108" s="73" t="n"/>
      <c r="Q108" s="73" t="n"/>
      <c r="R108" s="14" t="n"/>
    </row>
    <row r="109" ht="14.5" customHeight="1">
      <c r="A109" s="66" t="n"/>
      <c r="B109" s="66" t="n"/>
      <c r="C109" s="33" t="n"/>
      <c r="D109" s="32" t="n"/>
      <c r="E109" s="66" t="n"/>
      <c r="F109" s="66" t="n"/>
      <c r="G109" s="75" t="n"/>
      <c r="H109" s="69" t="n"/>
      <c r="I109" s="162" t="n"/>
      <c r="J109" s="163" t="n"/>
      <c r="K109" s="71" t="n"/>
      <c r="L109" s="67" t="n"/>
      <c r="M109" s="165" t="n"/>
      <c r="N109" s="66" t="n"/>
      <c r="O109" s="66" t="n"/>
      <c r="P109" s="73" t="n"/>
      <c r="Q109" s="73" t="n"/>
      <c r="R109" s="14" t="n"/>
    </row>
    <row r="110" ht="14.5" customHeight="1">
      <c r="A110" s="66" t="n"/>
      <c r="B110" s="66" t="n"/>
      <c r="C110" s="33" t="n"/>
      <c r="D110" s="32" t="n"/>
      <c r="E110" s="66" t="n"/>
      <c r="F110" s="66" t="n"/>
      <c r="G110" s="75" t="n"/>
      <c r="H110" s="69" t="n"/>
      <c r="I110" s="162" t="n"/>
      <c r="J110" s="163" t="n"/>
      <c r="K110" s="71" t="n"/>
      <c r="L110" s="67" t="n"/>
      <c r="M110" s="165" t="n"/>
      <c r="N110" s="66" t="n"/>
      <c r="O110" s="66" t="n"/>
      <c r="P110" s="73" t="n"/>
      <c r="Q110" s="73" t="n"/>
      <c r="R110" s="14" t="n"/>
    </row>
    <row r="111" ht="14.5" customHeight="1">
      <c r="A111" s="66" t="n"/>
      <c r="B111" s="66" t="n"/>
      <c r="C111" s="33" t="n"/>
      <c r="D111" s="32" t="n"/>
      <c r="E111" s="66" t="n"/>
      <c r="F111" s="66" t="n"/>
      <c r="G111" s="75" t="n"/>
      <c r="H111" s="69" t="n"/>
      <c r="I111" s="162" t="n"/>
      <c r="J111" s="163" t="n"/>
      <c r="K111" s="71" t="n"/>
      <c r="L111" s="67" t="n"/>
      <c r="M111" s="165" t="n"/>
      <c r="N111" s="66" t="n"/>
      <c r="O111" s="66" t="n"/>
      <c r="P111" s="73" t="n"/>
      <c r="Q111" s="73" t="n"/>
      <c r="R111" s="14" t="n"/>
    </row>
    <row r="112" ht="14.5" customHeight="1">
      <c r="A112" s="66" t="n"/>
      <c r="B112" s="66" t="n"/>
      <c r="C112" s="33" t="n"/>
      <c r="D112" s="32" t="n"/>
      <c r="E112" s="66" t="n"/>
      <c r="F112" s="66" t="n"/>
      <c r="G112" s="75" t="n"/>
      <c r="H112" s="69" t="n"/>
      <c r="I112" s="162" t="n"/>
      <c r="J112" s="163" t="n"/>
      <c r="K112" s="71" t="n"/>
      <c r="L112" s="67" t="n"/>
      <c r="M112" s="165" t="n"/>
      <c r="N112" s="66" t="n"/>
      <c r="O112" s="66" t="n"/>
      <c r="P112" s="73" t="n"/>
      <c r="Q112" s="73" t="n"/>
      <c r="R112" s="14" t="n"/>
    </row>
    <row r="113" ht="14.5" customHeight="1">
      <c r="A113" s="66" t="n"/>
      <c r="B113" s="66" t="n"/>
      <c r="C113" s="33" t="n"/>
      <c r="D113" s="32" t="n"/>
      <c r="E113" s="66" t="n"/>
      <c r="F113" s="66" t="n"/>
      <c r="G113" s="75" t="n"/>
      <c r="H113" s="69" t="n"/>
      <c r="I113" s="162" t="n"/>
      <c r="J113" s="163" t="n"/>
      <c r="K113" s="71" t="n"/>
      <c r="L113" s="67" t="n"/>
      <c r="M113" s="165" t="n"/>
      <c r="N113" s="66" t="n"/>
      <c r="O113" s="66" t="n"/>
      <c r="P113" s="73" t="n"/>
      <c r="Q113" s="73" t="n"/>
      <c r="R113" s="14" t="n"/>
    </row>
    <row r="114" ht="14.5" customHeight="1">
      <c r="A114" s="66" t="n"/>
      <c r="B114" s="66" t="n"/>
      <c r="C114" s="33" t="n"/>
      <c r="D114" s="32" t="n"/>
      <c r="E114" s="66" t="n"/>
      <c r="F114" s="66" t="n"/>
      <c r="G114" s="75" t="n"/>
      <c r="H114" s="69" t="n"/>
      <c r="I114" s="162" t="n"/>
      <c r="J114" s="163" t="n"/>
      <c r="K114" s="71" t="n"/>
      <c r="L114" s="67" t="n"/>
      <c r="M114" s="165" t="n"/>
      <c r="N114" s="66" t="n"/>
      <c r="O114" s="66" t="n"/>
      <c r="P114" s="73" t="n"/>
      <c r="Q114" s="73" t="n"/>
      <c r="R114" s="14" t="n"/>
    </row>
    <row r="115" ht="14.5" customHeight="1">
      <c r="A115" s="66" t="n"/>
      <c r="B115" s="66" t="n"/>
      <c r="C115" s="33" t="n"/>
      <c r="D115" s="32" t="n"/>
      <c r="E115" s="66" t="n"/>
      <c r="F115" s="66" t="n"/>
      <c r="G115" s="75" t="n"/>
      <c r="H115" s="69" t="n"/>
      <c r="I115" s="162" t="n"/>
      <c r="J115" s="163" t="n"/>
      <c r="K115" s="71" t="n"/>
      <c r="L115" s="67" t="n"/>
      <c r="M115" s="165" t="n"/>
      <c r="N115" s="66" t="n"/>
      <c r="O115" s="66" t="n"/>
      <c r="P115" s="73" t="n"/>
      <c r="Q115" s="73" t="n"/>
      <c r="R115" s="14" t="n"/>
    </row>
    <row r="116" ht="14.5" customHeight="1">
      <c r="A116" s="66" t="n"/>
      <c r="B116" s="66" t="n"/>
      <c r="C116" s="33" t="n"/>
      <c r="D116" s="32" t="n"/>
      <c r="E116" s="66" t="n"/>
      <c r="F116" s="66" t="n"/>
      <c r="G116" s="75" t="n"/>
      <c r="H116" s="69" t="n"/>
      <c r="I116" s="162" t="n"/>
      <c r="J116" s="163" t="n"/>
      <c r="K116" s="71" t="n"/>
      <c r="L116" s="67" t="n"/>
      <c r="M116" s="165" t="n"/>
      <c r="N116" s="66" t="n"/>
      <c r="O116" s="66" t="n"/>
      <c r="P116" s="73" t="n"/>
      <c r="Q116" s="73" t="n"/>
      <c r="R116" s="14" t="n"/>
    </row>
    <row r="117" ht="14.5" customHeight="1">
      <c r="A117" s="66" t="n"/>
      <c r="B117" s="66" t="n"/>
      <c r="C117" s="33" t="n"/>
      <c r="D117" s="32" t="n"/>
      <c r="E117" s="66" t="n"/>
      <c r="F117" s="66" t="n"/>
      <c r="G117" s="75" t="n"/>
      <c r="H117" s="69" t="n"/>
      <c r="I117" s="162" t="n"/>
      <c r="J117" s="163" t="n"/>
      <c r="K117" s="71" t="n"/>
      <c r="L117" s="67" t="n"/>
      <c r="M117" s="165" t="n"/>
      <c r="N117" s="66" t="n"/>
      <c r="O117" s="66" t="n"/>
      <c r="P117" s="73" t="n"/>
      <c r="Q117" s="73" t="n"/>
      <c r="R117" s="14" t="n"/>
    </row>
    <row r="118" ht="14.5" customHeight="1">
      <c r="A118" s="66" t="n"/>
      <c r="B118" s="66" t="n"/>
      <c r="C118" s="33" t="n"/>
      <c r="D118" s="32" t="n"/>
      <c r="E118" s="66" t="n"/>
      <c r="F118" s="66" t="n"/>
      <c r="G118" s="75" t="n"/>
      <c r="H118" s="69" t="n"/>
      <c r="I118" s="162" t="n"/>
      <c r="J118" s="163" t="n"/>
      <c r="K118" s="71" t="n"/>
      <c r="L118" s="67" t="n"/>
      <c r="M118" s="165" t="n"/>
      <c r="N118" s="66" t="n"/>
      <c r="O118" s="66" t="n"/>
      <c r="P118" s="73" t="n"/>
      <c r="Q118" s="73" t="n"/>
      <c r="R118" s="14" t="n"/>
    </row>
    <row r="119" ht="14.5" customHeight="1">
      <c r="A119" s="66" t="n"/>
      <c r="B119" s="66" t="n"/>
      <c r="C119" s="33" t="n"/>
      <c r="D119" s="32" t="n"/>
      <c r="E119" s="66" t="n"/>
      <c r="F119" s="66" t="n"/>
      <c r="G119" s="75" t="n"/>
      <c r="H119" s="69" t="n"/>
      <c r="I119" s="162" t="n"/>
      <c r="J119" s="163" t="n"/>
      <c r="K119" s="71" t="n"/>
      <c r="L119" s="67" t="n"/>
      <c r="M119" s="165" t="n"/>
      <c r="N119" s="66" t="n"/>
      <c r="O119" s="66" t="n"/>
      <c r="P119" s="73" t="n"/>
      <c r="Q119" s="73" t="n"/>
      <c r="R119" s="14" t="n"/>
    </row>
    <row r="120" ht="14.5" customHeight="1">
      <c r="A120" s="66" t="n"/>
      <c r="B120" s="66" t="n"/>
      <c r="C120" s="33" t="n"/>
      <c r="D120" s="32" t="n"/>
      <c r="E120" s="66" t="n"/>
      <c r="F120" s="66" t="n"/>
      <c r="G120" s="75" t="n"/>
      <c r="H120" s="69" t="n"/>
      <c r="I120" s="162" t="n"/>
      <c r="J120" s="163" t="n"/>
      <c r="K120" s="71" t="n"/>
      <c r="L120" s="67" t="n"/>
      <c r="M120" s="165" t="n"/>
      <c r="N120" s="66" t="n"/>
      <c r="O120" s="66" t="n"/>
      <c r="P120" s="73" t="n"/>
      <c r="Q120" s="73" t="n"/>
      <c r="R120" s="14" t="n"/>
    </row>
    <row r="121" ht="14.5" customHeight="1">
      <c r="A121" s="66" t="n"/>
      <c r="B121" s="66" t="n"/>
      <c r="C121" s="33" t="n"/>
      <c r="D121" s="32" t="n"/>
      <c r="E121" s="66" t="n"/>
      <c r="F121" s="66" t="n"/>
      <c r="G121" s="75" t="n"/>
      <c r="H121" s="69" t="n"/>
      <c r="I121" s="162" t="n"/>
      <c r="J121" s="163" t="n"/>
      <c r="K121" s="71" t="n"/>
      <c r="L121" s="67" t="n"/>
      <c r="M121" s="165" t="n"/>
      <c r="N121" s="66" t="n"/>
      <c r="O121" s="66" t="n"/>
      <c r="P121" s="73" t="n"/>
      <c r="Q121" s="73" t="n"/>
      <c r="R121" s="14" t="n"/>
    </row>
    <row r="122" ht="14.5" customHeight="1">
      <c r="A122" s="66" t="n"/>
      <c r="B122" s="66" t="n"/>
      <c r="C122" s="33" t="n"/>
      <c r="D122" s="32" t="n"/>
      <c r="E122" s="66" t="n"/>
      <c r="F122" s="66" t="n"/>
      <c r="G122" s="75" t="n"/>
      <c r="H122" s="69" t="n"/>
      <c r="I122" s="162" t="n"/>
      <c r="J122" s="163" t="n"/>
      <c r="K122" s="71" t="n"/>
      <c r="L122" s="67" t="n"/>
      <c r="M122" s="165" t="n"/>
      <c r="N122" s="66" t="n"/>
      <c r="O122" s="66" t="n"/>
      <c r="P122" s="73" t="n"/>
      <c r="Q122" s="73" t="n"/>
      <c r="R122" s="14" t="n"/>
    </row>
    <row r="123">
      <c r="A123" s="66" t="n"/>
      <c r="B123" s="66" t="n"/>
      <c r="C123" s="33" t="n"/>
      <c r="D123" s="32" t="n"/>
      <c r="E123" s="66" t="n"/>
      <c r="F123" s="66" t="n"/>
      <c r="G123" s="75" t="n"/>
      <c r="H123" s="69" t="n"/>
      <c r="I123" s="162" t="n"/>
      <c r="J123" s="163" t="n"/>
      <c r="K123" s="71" t="n"/>
      <c r="L123" s="67" t="n"/>
      <c r="M123" s="165" t="n"/>
      <c r="N123" s="66" t="n"/>
      <c r="O123" s="66" t="n"/>
      <c r="P123" s="73" t="n"/>
      <c r="Q123" s="73" t="n"/>
      <c r="R123" s="14" t="n"/>
    </row>
    <row r="124" ht="14.5" customHeight="1">
      <c r="A124" s="66" t="n"/>
      <c r="B124" s="66" t="n"/>
      <c r="C124" s="33" t="n"/>
      <c r="D124" s="32" t="n"/>
      <c r="E124" s="66" t="n"/>
      <c r="F124" s="66" t="n"/>
      <c r="G124" s="75" t="n"/>
      <c r="H124" s="69" t="n"/>
      <c r="I124" s="162" t="n"/>
      <c r="J124" s="163" t="n"/>
      <c r="K124" s="71" t="n"/>
      <c r="L124" s="67" t="n"/>
      <c r="M124" s="165" t="n"/>
      <c r="N124" s="66" t="n"/>
      <c r="O124" s="66" t="n"/>
      <c r="P124" s="73" t="n"/>
      <c r="Q124" s="73" t="n"/>
      <c r="R124" s="14" t="n"/>
    </row>
    <row r="125" ht="14.5" customHeight="1">
      <c r="A125" s="66" t="n"/>
      <c r="B125" s="66" t="n"/>
      <c r="C125" s="33" t="n"/>
      <c r="D125" s="32" t="n"/>
      <c r="E125" s="66" t="n"/>
      <c r="F125" s="66" t="n"/>
      <c r="G125" s="75" t="n"/>
      <c r="H125" s="69" t="n"/>
      <c r="I125" s="162" t="n"/>
      <c r="J125" s="163" t="n"/>
      <c r="K125" s="71" t="n"/>
      <c r="L125" s="67" t="n"/>
      <c r="M125" s="165" t="n"/>
      <c r="N125" s="66" t="n"/>
      <c r="O125" s="66" t="n"/>
      <c r="P125" s="73" t="n"/>
      <c r="Q125" s="73" t="n"/>
      <c r="R125" s="14" t="n"/>
    </row>
    <row r="126" ht="14.5" customHeight="1">
      <c r="A126" s="66" t="n"/>
      <c r="B126" s="66" t="n"/>
      <c r="C126" s="33" t="n"/>
      <c r="D126" s="32" t="n"/>
      <c r="E126" s="66" t="n"/>
      <c r="F126" s="66" t="n"/>
      <c r="G126" s="75" t="n"/>
      <c r="H126" s="69" t="n"/>
      <c r="I126" s="162" t="n"/>
      <c r="J126" s="163" t="n"/>
      <c r="K126" s="71" t="n"/>
      <c r="L126" s="67" t="n"/>
      <c r="M126" s="165" t="n"/>
      <c r="N126" s="66" t="n"/>
      <c r="O126" s="66" t="n"/>
      <c r="P126" s="73" t="n"/>
      <c r="Q126" s="73" t="n"/>
      <c r="R126" s="14" t="n"/>
    </row>
    <row r="127">
      <c r="A127" s="66" t="n"/>
      <c r="B127" s="66" t="n"/>
      <c r="C127" s="33" t="n"/>
      <c r="D127" s="32" t="n"/>
      <c r="E127" s="66" t="n"/>
      <c r="F127" s="66" t="n"/>
      <c r="G127" s="75" t="n"/>
      <c r="H127" s="69" t="n"/>
      <c r="I127" s="162" t="n"/>
      <c r="J127" s="163" t="n"/>
      <c r="K127" s="71" t="n"/>
      <c r="L127" s="67" t="n"/>
      <c r="M127" s="165" t="n"/>
      <c r="N127" s="66" t="n"/>
      <c r="O127" s="66" t="n"/>
      <c r="P127" s="73" t="n"/>
      <c r="Q127" s="73" t="n"/>
      <c r="R127" s="14" t="n"/>
    </row>
    <row r="128" ht="14.5" customHeight="1">
      <c r="A128" s="80" t="inlineStr">
        <is>
          <t>Total</t>
        </is>
      </c>
      <c r="B128" s="24" t="n"/>
      <c r="C128" s="24" t="n"/>
      <c r="D128" s="24" t="n"/>
      <c r="E128" s="24" t="n"/>
      <c r="F128" s="25" t="n"/>
      <c r="G128" s="154">
        <f>SUM(G93:G127)</f>
        <v/>
      </c>
      <c r="H128" s="155">
        <f>SUM(H93:H127)</f>
        <v/>
      </c>
      <c r="I128" s="156" t="n"/>
      <c r="J128" s="157">
        <f>SUM(J93:J127)</f>
        <v/>
      </c>
      <c r="K128" s="158">
        <f>SUM(K93:K127)</f>
        <v/>
      </c>
      <c r="L128" s="80" t="n"/>
      <c r="M128" s="159" t="n"/>
      <c r="N128" s="160" t="n"/>
      <c r="O128" s="160" t="n"/>
      <c r="P128" s="160" t="n"/>
      <c r="Q128" s="160" t="n"/>
      <c r="R128" s="14" t="n"/>
    </row>
    <row r="129" ht="14.5" customHeight="1">
      <c r="A129" s="38" t="n"/>
      <c r="B129" s="38" t="n"/>
      <c r="C129" s="38" t="n"/>
      <c r="D129" s="110" t="n"/>
      <c r="E129" s="110" t="n"/>
      <c r="F129" s="110" t="n"/>
      <c r="G129" s="125" t="n"/>
      <c r="H129" s="114" t="n"/>
      <c r="I129" s="126" t="n"/>
      <c r="J129" s="126" t="n"/>
      <c r="K129" s="114" t="n"/>
      <c r="L129" s="110" t="n"/>
      <c r="M129" s="110" t="n"/>
      <c r="N129" s="110" t="n"/>
      <c r="O129" s="110" t="n"/>
      <c r="P129" s="110" t="n"/>
      <c r="Q129" s="110" t="n"/>
      <c r="R129" s="14" t="n"/>
    </row>
    <row r="130">
      <c r="A130" s="151" t="inlineStr">
        <is>
          <t>Flavor Pre-Mix Formulation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7" t="n"/>
      <c r="R130" s="14" t="n"/>
    </row>
    <row r="131">
      <c r="A131" s="57" t="inlineStr">
        <is>
          <t>Flavor Pre-Mix Formulation NAV Item Code</t>
        </is>
      </c>
      <c r="B131" s="36" t="n"/>
      <c r="C131" s="36" t="n"/>
      <c r="D131" s="37" t="n"/>
      <c r="E131" s="152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Description</t>
        </is>
      </c>
      <c r="B132" s="36" t="n"/>
      <c r="C132" s="36" t="n"/>
      <c r="D132" s="37" t="n"/>
      <c r="E132" s="152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62" t="inlineStr">
        <is>
          <t>No</t>
        </is>
      </c>
      <c r="B133" s="62" t="inlineStr">
        <is>
          <t>Material NAV Item
Code</t>
        </is>
      </c>
      <c r="C133" s="62" t="inlineStr">
        <is>
          <t>Material Name</t>
        </is>
      </c>
      <c r="D133" s="25" t="n"/>
      <c r="E133" s="109" t="inlineStr">
        <is>
          <t>Physical State</t>
        </is>
      </c>
      <c r="F133" s="62" t="inlineStr">
        <is>
          <t>CAS Number</t>
        </is>
      </c>
      <c r="G133" s="63" t="inlineStr">
        <is>
          <t>Ratio
(%)</t>
        </is>
      </c>
      <c r="H133" s="64" t="inlineStr">
        <is>
          <t>Dosage
(mg/stick)</t>
        </is>
      </c>
      <c r="I133" s="65" t="inlineStr">
        <is>
          <t>Material
Price
(USD / KG)</t>
        </is>
      </c>
      <c r="J133" s="65" t="inlineStr">
        <is>
          <t>Formulation
Price 
(USD / KG)</t>
        </is>
      </c>
      <c r="K133" s="64" t="inlineStr">
        <is>
          <t>Dosage
(KG / MC)</t>
        </is>
      </c>
      <c r="L133" s="62" t="inlineStr">
        <is>
          <t>Density</t>
        </is>
      </c>
      <c r="M133" s="62" t="inlineStr">
        <is>
          <t>Addition
Sequence</t>
        </is>
      </c>
      <c r="N133" s="62" t="inlineStr">
        <is>
          <t>Temperature</t>
        </is>
      </c>
      <c r="O133" s="62" t="inlineStr">
        <is>
          <t>Agitation
Rate</t>
        </is>
      </c>
      <c r="P133" s="62" t="inlineStr">
        <is>
          <t>Mixing
Duration</t>
        </is>
      </c>
      <c r="Q133" s="62" t="inlineStr">
        <is>
          <t>Work Instruction</t>
        </is>
      </c>
      <c r="R133" s="14" t="n"/>
    </row>
    <row r="134">
      <c r="A134" s="66" t="n"/>
      <c r="B134" s="66" t="n"/>
      <c r="C134" s="33" t="n"/>
      <c r="D134" s="32" t="n"/>
      <c r="E134" s="66" t="n"/>
      <c r="F134" s="66" t="n"/>
      <c r="G134" s="75" t="n"/>
      <c r="H134" s="69" t="n"/>
      <c r="I134" s="164" t="n"/>
      <c r="J134" s="163" t="n"/>
      <c r="K134" s="71" t="n"/>
      <c r="L134" s="66" t="n"/>
      <c r="M134" s="66" t="n"/>
      <c r="N134" s="66" t="n"/>
      <c r="O134" s="66" t="n"/>
      <c r="P134" s="66" t="n"/>
      <c r="Q134" s="66" t="n"/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75" t="n"/>
      <c r="H135" s="69" t="n"/>
      <c r="I135" s="162" t="n"/>
      <c r="J135" s="163" t="n"/>
      <c r="K135" s="71" t="n"/>
      <c r="L135" s="76" t="n"/>
      <c r="M135" s="66" t="n"/>
      <c r="N135" s="66" t="n"/>
      <c r="O135" s="66" t="n"/>
      <c r="P135" s="66" t="n"/>
      <c r="Q135" s="66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5" t="n"/>
      <c r="H136" s="69" t="n"/>
      <c r="I136" s="162" t="n"/>
      <c r="J136" s="163" t="n"/>
      <c r="K136" s="71" t="n"/>
      <c r="L136" s="76" t="n"/>
      <c r="M136" s="66" t="n"/>
      <c r="N136" s="66" t="n"/>
      <c r="O136" s="66" t="n"/>
      <c r="P136" s="66" t="n"/>
      <c r="Q136" s="66" t="n"/>
      <c r="R136" s="14" t="n"/>
    </row>
    <row r="137">
      <c r="A137" s="66" t="n"/>
      <c r="B137" s="66" t="n"/>
      <c r="C137" s="33" t="n"/>
      <c r="D137" s="32" t="n"/>
      <c r="E137" s="66" t="n"/>
      <c r="F137" s="66" t="n"/>
      <c r="G137" s="75" t="n"/>
      <c r="H137" s="69" t="n"/>
      <c r="I137" s="162" t="n"/>
      <c r="J137" s="163" t="n"/>
      <c r="K137" s="71" t="n"/>
      <c r="L137" s="76" t="n"/>
      <c r="M137" s="66" t="n"/>
      <c r="N137" s="66" t="n"/>
      <c r="O137" s="66" t="n"/>
      <c r="P137" s="66" t="n"/>
      <c r="Q137" s="66" t="n"/>
      <c r="R137" s="14" t="n"/>
    </row>
    <row r="138">
      <c r="A138" s="66" t="n"/>
      <c r="B138" s="66" t="n"/>
      <c r="C138" s="33" t="n"/>
      <c r="D138" s="32" t="n"/>
      <c r="E138" s="66" t="n"/>
      <c r="F138" s="66" t="n"/>
      <c r="G138" s="75" t="n"/>
      <c r="H138" s="69" t="n"/>
      <c r="I138" s="162" t="n"/>
      <c r="J138" s="163" t="n"/>
      <c r="K138" s="71" t="n"/>
      <c r="L138" s="76" t="n"/>
      <c r="M138" s="66" t="n"/>
      <c r="N138" s="66" t="n"/>
      <c r="O138" s="66" t="n"/>
      <c r="P138" s="66" t="n"/>
      <c r="Q138" s="66" t="n"/>
      <c r="R138" s="14" t="n"/>
    </row>
    <row r="139">
      <c r="A139" s="66" t="n"/>
      <c r="B139" s="66" t="n"/>
      <c r="C139" s="33" t="n"/>
      <c r="D139" s="32" t="n"/>
      <c r="E139" s="66" t="n"/>
      <c r="F139" s="66" t="n"/>
      <c r="G139" s="75" t="n"/>
      <c r="H139" s="69" t="n"/>
      <c r="I139" s="162" t="n"/>
      <c r="J139" s="163" t="n"/>
      <c r="K139" s="71" t="n"/>
      <c r="L139" s="76" t="n"/>
      <c r="M139" s="66" t="n"/>
      <c r="N139" s="66" t="n"/>
      <c r="O139" s="66" t="n"/>
      <c r="P139" s="66" t="n"/>
      <c r="Q139" s="66" t="n"/>
      <c r="R139" s="14" t="n"/>
    </row>
    <row r="140">
      <c r="A140" s="66" t="n"/>
      <c r="B140" s="66" t="n"/>
      <c r="C140" s="33" t="n"/>
      <c r="D140" s="32" t="n"/>
      <c r="E140" s="66" t="n"/>
      <c r="F140" s="66" t="n"/>
      <c r="G140" s="75" t="n"/>
      <c r="H140" s="69" t="n"/>
      <c r="I140" s="162" t="n"/>
      <c r="J140" s="163" t="n"/>
      <c r="K140" s="71" t="n"/>
      <c r="L140" s="76" t="n"/>
      <c r="M140" s="66" t="n"/>
      <c r="N140" s="66" t="n"/>
      <c r="O140" s="66" t="n"/>
      <c r="P140" s="66" t="n"/>
      <c r="Q140" s="66" t="n"/>
      <c r="R140" s="14" t="n"/>
    </row>
    <row r="141">
      <c r="A141" s="66" t="n"/>
      <c r="B141" s="66" t="n"/>
      <c r="C141" s="33" t="n"/>
      <c r="D141" s="32" t="n"/>
      <c r="E141" s="66" t="n"/>
      <c r="F141" s="66" t="n"/>
      <c r="G141" s="75" t="n"/>
      <c r="H141" s="69" t="n"/>
      <c r="I141" s="162" t="n"/>
      <c r="J141" s="163" t="n"/>
      <c r="K141" s="71" t="n"/>
      <c r="L141" s="76" t="n"/>
      <c r="M141" s="66" t="n"/>
      <c r="N141" s="66" t="n"/>
      <c r="O141" s="66" t="n"/>
      <c r="P141" s="66" t="n"/>
      <c r="Q141" s="66" t="n"/>
      <c r="R141" s="14" t="n"/>
    </row>
    <row r="142">
      <c r="A142" s="66" t="n"/>
      <c r="B142" s="66" t="n"/>
      <c r="C142" s="33" t="n"/>
      <c r="D142" s="32" t="n"/>
      <c r="E142" s="66" t="n"/>
      <c r="F142" s="66" t="n"/>
      <c r="G142" s="75" t="n"/>
      <c r="H142" s="69" t="n"/>
      <c r="I142" s="162" t="n"/>
      <c r="J142" s="163" t="n"/>
      <c r="K142" s="71" t="n"/>
      <c r="L142" s="76" t="n"/>
      <c r="M142" s="66" t="n"/>
      <c r="N142" s="66" t="n"/>
      <c r="O142" s="66" t="n"/>
      <c r="P142" s="66" t="n"/>
      <c r="Q142" s="66" t="n"/>
      <c r="R142" s="14" t="n"/>
    </row>
    <row r="143">
      <c r="A143" s="80" t="inlineStr">
        <is>
          <t>Total</t>
        </is>
      </c>
      <c r="B143" s="24" t="n"/>
      <c r="C143" s="24" t="n"/>
      <c r="D143" s="24" t="n"/>
      <c r="E143" s="24" t="n"/>
      <c r="F143" s="25" t="n"/>
      <c r="G143" s="154">
        <f>SUM(G134:G142)</f>
        <v/>
      </c>
      <c r="H143" s="166">
        <f>SUM(H134:H142)</f>
        <v/>
      </c>
      <c r="I143" s="156" t="n"/>
      <c r="J143" s="157">
        <f>SUM(J134:J142)</f>
        <v/>
      </c>
      <c r="K143" s="158">
        <f>SUM(K134:K142)</f>
        <v/>
      </c>
      <c r="L143" s="80" t="n"/>
      <c r="M143" s="159" t="n"/>
      <c r="N143" s="160" t="n"/>
      <c r="O143" s="160" t="n"/>
      <c r="P143" s="160" t="n"/>
      <c r="Q143" s="160" t="n"/>
      <c r="R143" s="14" t="n"/>
    </row>
  </sheetData>
  <mergeCells count="116">
    <mergeCell ref="A15:B15"/>
    <mergeCell ref="A130:Q130"/>
    <mergeCell ref="H10:I10"/>
    <mergeCell ref="C79:D79"/>
    <mergeCell ref="C13:F13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A22:D22"/>
    <mergeCell ref="A35:D35"/>
    <mergeCell ref="A73:Q73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A90:D90"/>
    <mergeCell ref="C82:D82"/>
    <mergeCell ref="A74:D74"/>
    <mergeCell ref="A10:B10"/>
    <mergeCell ref="A20:Q20"/>
    <mergeCell ref="C53:D53"/>
    <mergeCell ref="E90:Q90"/>
    <mergeCell ref="J18:Q18"/>
    <mergeCell ref="C77:D77"/>
    <mergeCell ref="A54:F54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67" t="inlineStr">
        <is>
          <t>Item Code</t>
        </is>
      </c>
      <c r="B1" s="167" t="inlineStr">
        <is>
          <t>SAAT</t>
        </is>
      </c>
      <c r="C1" s="167" t="inlineStr">
        <is>
          <t>BOL</t>
        </is>
      </c>
      <c r="D1" s="167" t="inlineStr">
        <is>
          <t>Jumlah *</t>
        </is>
      </c>
      <c r="E1" s="167" t="inlineStr">
        <is>
          <t>Item Name</t>
        </is>
      </c>
      <c r="F1" s="167" t="inlineStr">
        <is>
          <t>Chemical Name</t>
        </is>
      </c>
      <c r="G1" s="167" t="inlineStr">
        <is>
          <t>Price (USD)/KG</t>
        </is>
      </c>
      <c r="H1" s="167" t="inlineStr">
        <is>
          <t>CAS Number</t>
        </is>
      </c>
      <c r="I1" s="167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2026-07-08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inlineStr">
        <is>
          <t>Casing Rajangan</t>
        </is>
      </c>
      <c r="B12" s="5" t="inlineStr">
        <is>
          <t>GEN-WA-00001</t>
        </is>
      </c>
      <c r="C12" s="5" t="inlineStr">
        <is>
          <t>WATER</t>
        </is>
      </c>
      <c r="D12" s="7" t="n">
        <v>1.25</v>
      </c>
      <c r="E12" s="5" t="n">
        <v>1</v>
      </c>
      <c r="F12" s="5" t="n">
        <v/>
      </c>
      <c r="G12" s="5" t="n">
        <v/>
      </c>
      <c r="H12" s="5" t="n">
        <v/>
      </c>
      <c r="I12" s="5" t="n">
        <v/>
      </c>
      <c r="J12" s="5" t="n">
        <v/>
      </c>
      <c r="K12" s="5" t="n">
        <v/>
      </c>
    </row>
    <row r="13">
      <c r="A13" s="5" t="inlineStr">
        <is>
          <t>Casing Rajangan</t>
        </is>
      </c>
      <c r="B13" s="5" t="inlineStr">
        <is>
          <t>GEN-CHM-00015</t>
        </is>
      </c>
      <c r="C13" s="5" t="inlineStr">
        <is>
          <t>INVERT SUGAR</t>
        </is>
      </c>
      <c r="D13" s="7" t="n">
        <v>2</v>
      </c>
      <c r="E13" s="5" t="n">
        <v>2</v>
      </c>
      <c r="F13" s="5" t="n">
        <v/>
      </c>
      <c r="G13" s="5" t="n">
        <v/>
      </c>
      <c r="H13" s="5" t="n">
        <v/>
      </c>
      <c r="I13" s="5" t="n">
        <v/>
      </c>
      <c r="J13" s="5" t="n">
        <v/>
      </c>
      <c r="K13" s="5" t="n">
        <v/>
      </c>
    </row>
    <row r="14">
      <c r="A14" s="5" t="inlineStr">
        <is>
          <t>Casing Rajangan</t>
        </is>
      </c>
      <c r="B14" s="5" t="inlineStr">
        <is>
          <t>GEN-CHM-00016</t>
        </is>
      </c>
      <c r="C14" s="5" t="inlineStr">
        <is>
          <t>SV-PROPYLENE GLYCOL</t>
        </is>
      </c>
      <c r="D14" s="7" t="n">
        <v>2</v>
      </c>
      <c r="E14" s="5" t="n">
        <v>2</v>
      </c>
      <c r="F14" s="5" t="n">
        <v/>
      </c>
      <c r="G14" s="5" t="n">
        <v/>
      </c>
      <c r="H14" s="5" t="n">
        <v/>
      </c>
      <c r="I14" s="5" t="n">
        <v/>
      </c>
      <c r="J14" s="5" t="n">
        <v/>
      </c>
      <c r="K14" s="5" t="n">
        <v/>
      </c>
    </row>
    <row r="15">
      <c r="A15" s="5" t="inlineStr">
        <is>
          <t>Casing Krosok</t>
        </is>
      </c>
      <c r="B15" s="5" t="inlineStr">
        <is>
          <t>GEN-CHM-00015</t>
        </is>
      </c>
      <c r="C15" s="5" t="inlineStr">
        <is>
          <t>INVERT SUGAR</t>
        </is>
      </c>
      <c r="D15" s="7" t="n">
        <v>2</v>
      </c>
      <c r="E15" s="5" t="n">
        <v>1</v>
      </c>
      <c r="F15" s="5" t="n"/>
      <c r="G15" s="5" t="n"/>
      <c r="H15" s="5" t="n"/>
      <c r="I15" s="5" t="n"/>
      <c r="J15" s="5" t="n"/>
      <c r="K15" s="5" t="n"/>
    </row>
    <row r="16">
      <c r="A16" s="5" t="inlineStr">
        <is>
          <t>Casing Krosok</t>
        </is>
      </c>
      <c r="B16" s="5" t="inlineStr">
        <is>
          <t>GEN-CHM-00016</t>
        </is>
      </c>
      <c r="C16" s="5" t="inlineStr">
        <is>
          <t>SV-PROPYLENE GLYCOL</t>
        </is>
      </c>
      <c r="D16" s="7" t="n">
        <v>2</v>
      </c>
      <c r="E16" s="5" t="n">
        <v>2</v>
      </c>
      <c r="F16" s="5" t="n"/>
      <c r="G16" s="5" t="n"/>
      <c r="H16" s="5" t="n"/>
      <c r="I16" s="5" t="n"/>
      <c r="J16" s="5" t="n"/>
      <c r="K16" s="5" t="n"/>
    </row>
    <row r="17">
      <c r="A17" s="5" t="inlineStr">
        <is>
          <t>Casing Krosok</t>
        </is>
      </c>
      <c r="B17" s="5" t="inlineStr">
        <is>
          <t>GEN-WA-00001</t>
        </is>
      </c>
      <c r="C17" s="5" t="inlineStr">
        <is>
          <t>WATER</t>
        </is>
      </c>
      <c r="D17" s="7" t="n">
        <v>5</v>
      </c>
      <c r="E17" s="5" t="n">
        <v>3</v>
      </c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7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7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2026-07-08T01:36:08Z</dcterms:created>
  <dcterms:modified xsi:type="dcterms:W3CDTF">2026-07-08T01:36:09Z</dcterms:modified>
</cp:coreProperties>
</file>