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8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9" fillId="12" borderId="2" applyAlignment="1" applyProtection="1" pivotButton="0" quotePrefix="0" xfId="0">
      <alignment horizontal="center" vertical="center" wrapText="1"/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164" fontId="12" fillId="12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2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2026-07-08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69" t="n"/>
      <c r="I30" s="88" t="n"/>
      <c r="J30" s="89" t="n"/>
      <c r="K30" s="90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1" t="n"/>
      <c r="B31" s="24" t="n"/>
      <c r="C31" s="24" t="n"/>
      <c r="D31" s="24" t="n"/>
      <c r="E31" s="24" t="n"/>
      <c r="F31" s="25" t="n"/>
      <c r="G31" s="92" t="n"/>
      <c r="H31" s="93" t="n"/>
      <c r="I31" s="94" t="n"/>
      <c r="J31" s="95" t="n"/>
      <c r="K31" s="96" t="n"/>
      <c r="L31" s="97" t="n"/>
      <c r="M31" s="98" t="n"/>
      <c r="N31" s="98" t="n"/>
      <c r="O31" s="98" t="n"/>
      <c r="P31" s="98" t="n"/>
      <c r="Q31" s="99" t="n"/>
      <c r="R31" s="100" t="n"/>
    </row>
    <row r="32" ht="15" customHeight="1">
      <c r="A32" s="31" t="n"/>
      <c r="B32" s="31" t="n"/>
      <c r="C32" s="31" t="n"/>
      <c r="D32" s="31" t="n"/>
      <c r="E32" s="31" t="n"/>
      <c r="F32" s="31" t="n"/>
      <c r="G32" s="101" t="n"/>
      <c r="H32" s="102" t="n"/>
      <c r="I32" s="103" t="n"/>
      <c r="J32" s="103" t="n"/>
      <c r="K32" s="102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>
        <v/>
      </c>
      <c r="O39" s="72" t="n">
        <v/>
      </c>
      <c r="P39" s="72" t="n">
        <v/>
      </c>
      <c r="Q39" s="72" t="n">
        <v/>
      </c>
      <c r="R39" s="14" t="n"/>
    </row>
    <row r="40" ht="16" customHeight="1">
      <c r="A40" s="76" t="inlineStr">
        <is>
          <t>Total</t>
        </is>
      </c>
      <c r="B40" s="76" t="n"/>
      <c r="C40" s="77" t="n"/>
      <c r="D40" s="78" t="n"/>
      <c r="E40" s="76" t="n"/>
      <c r="F40" s="76" t="n"/>
      <c r="G40" s="79">
        <f>SUM(G39:G39)</f>
        <v/>
      </c>
      <c r="H40" s="80">
        <f>SUM(H39:H39)</f>
        <v/>
      </c>
      <c r="I40" s="81" t="n"/>
      <c r="J40" s="82">
        <f>SUM(J39:J39)</f>
        <v/>
      </c>
      <c r="K40" s="80">
        <f>SUM(K39:K39)</f>
        <v/>
      </c>
      <c r="L40" s="83" t="n"/>
      <c r="M40" s="84" t="n"/>
      <c r="N40" s="85" t="n"/>
      <c r="O40" s="85" t="n"/>
      <c r="P40" s="85" t="n"/>
      <c r="Q40" s="85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74" t="n"/>
      <c r="H41" s="69" t="n"/>
      <c r="I41" s="89" t="n"/>
      <c r="J41" s="89" t="n"/>
      <c r="K41" s="90" t="n"/>
      <c r="L41" s="75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74" t="n"/>
      <c r="H42" s="69" t="n"/>
      <c r="I42" s="89" t="n"/>
      <c r="J42" s="89" t="n"/>
      <c r="K42" s="90" t="n"/>
      <c r="L42" s="75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69" t="n"/>
      <c r="I43" s="88" t="n"/>
      <c r="J43" s="89" t="n"/>
      <c r="K43" s="90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1" t="n"/>
      <c r="B44" s="24" t="n"/>
      <c r="C44" s="24" t="n"/>
      <c r="D44" s="24" t="n"/>
      <c r="E44" s="24" t="n"/>
      <c r="F44" s="25" t="n"/>
      <c r="G44" s="92" t="n"/>
      <c r="H44" s="93" t="n"/>
      <c r="I44" s="94" t="n"/>
      <c r="J44" s="95" t="n"/>
      <c r="K44" s="96" t="n"/>
      <c r="L44" s="97" t="n"/>
      <c r="M44" s="98" t="n"/>
      <c r="N44" s="98" t="n"/>
      <c r="O44" s="98" t="n"/>
      <c r="P44" s="98" t="n"/>
      <c r="Q44" s="98" t="n"/>
      <c r="R44" s="14" t="n"/>
    </row>
    <row r="45" ht="15" customHeight="1">
      <c r="A45" s="38" t="n"/>
      <c r="B45" s="38" t="n"/>
      <c r="C45" s="104" t="n"/>
      <c r="D45" s="104" t="n"/>
      <c r="E45" s="104" t="n"/>
      <c r="F45" s="104" t="n"/>
      <c r="G45" s="105" t="n"/>
      <c r="H45" s="106" t="n"/>
      <c r="I45" s="107" t="n"/>
      <c r="J45" s="107" t="n"/>
      <c r="K45" s="106" t="n"/>
      <c r="L45" s="104" t="n"/>
      <c r="M45" s="104" t="n"/>
      <c r="N45" s="104" t="n"/>
      <c r="O45" s="104" t="n"/>
      <c r="P45" s="104" t="n"/>
      <c r="Q45" s="104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8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09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0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6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1</v>
      </c>
      <c r="H52" s="111" t="n">
        <v>1</v>
      </c>
      <c r="I52" s="70" t="n">
        <v>0</v>
      </c>
      <c r="J52" s="70" t="n">
        <v>0</v>
      </c>
      <c r="K52" s="69" t="n">
        <v>0.01</v>
      </c>
      <c r="L52" s="66" t="n"/>
      <c r="M52" s="66" t="n">
        <v>1</v>
      </c>
      <c r="N52" s="66" t="n">
        <v/>
      </c>
      <c r="O52" s="66" t="n">
        <v/>
      </c>
      <c r="P52" s="66" t="n">
        <v/>
      </c>
      <c r="Q52" s="66" t="n">
        <v/>
      </c>
      <c r="R52" s="14" t="n"/>
    </row>
    <row r="53" ht="14.5" customHeight="1">
      <c r="A53" s="76" t="inlineStr">
        <is>
          <t>Total</t>
        </is>
      </c>
      <c r="B53" s="112" t="n"/>
      <c r="C53" s="77" t="n"/>
      <c r="D53" s="78" t="n"/>
      <c r="E53" s="76" t="n"/>
      <c r="F53" s="76" t="n"/>
      <c r="G53" s="113">
        <f>SUM(G52:G52)</f>
        <v/>
      </c>
      <c r="H53" s="114">
        <f>SUM(H52:H52)</f>
        <v/>
      </c>
      <c r="I53" s="81" t="n"/>
      <c r="J53" s="82">
        <f>SUM(J52:J52)</f>
        <v/>
      </c>
      <c r="K53" s="80">
        <f>SUM(K52:K52)</f>
        <v/>
      </c>
      <c r="L53" s="83" t="n"/>
      <c r="M53" s="76" t="n"/>
      <c r="N53" s="76" t="n"/>
      <c r="O53" s="76" t="n"/>
      <c r="P53" s="76" t="n"/>
      <c r="Q53" s="76" t="n"/>
      <c r="R53" s="14" t="n"/>
    </row>
    <row r="54" hidden="1" ht="14.5" customHeight="1">
      <c r="A54" s="91" t="n"/>
      <c r="B54" s="24" t="n"/>
      <c r="C54" s="24" t="n"/>
      <c r="D54" s="24" t="n"/>
      <c r="E54" s="24" t="n"/>
      <c r="F54" s="25" t="n"/>
      <c r="G54" s="115" t="n"/>
      <c r="H54" s="93" t="n"/>
      <c r="I54" s="116" t="n"/>
      <c r="J54" s="117" t="n"/>
      <c r="K54" s="96" t="n"/>
      <c r="L54" s="97" t="n"/>
      <c r="M54" s="98" t="n"/>
      <c r="N54" s="98" t="n"/>
      <c r="O54" s="98" t="n"/>
      <c r="P54" s="98" t="n"/>
      <c r="Q54" s="98" t="n"/>
      <c r="R54" s="14" t="n"/>
    </row>
    <row r="55" ht="32.75" customHeight="1">
      <c r="A55" s="118" t="n"/>
      <c r="B55" s="119" t="n"/>
      <c r="C55" s="119" t="n"/>
      <c r="D55" s="119" t="n"/>
      <c r="E55" s="119" t="n"/>
      <c r="F55" s="119" t="n"/>
      <c r="G55" s="120" t="n"/>
      <c r="H55" s="121" t="n"/>
      <c r="I55" s="122" t="n"/>
      <c r="J55" s="122" t="n"/>
      <c r="K55" s="121" t="n"/>
      <c r="L55" s="119" t="n"/>
      <c r="M55" s="119" t="n"/>
      <c r="N55" s="119" t="n"/>
      <c r="O55" s="119" t="n"/>
      <c r="P55" s="119" t="n"/>
      <c r="Q55" s="119" t="n"/>
      <c r="R55" s="14" t="n"/>
    </row>
    <row r="56" ht="48" customHeight="1">
      <c r="A56" s="123" t="inlineStr">
        <is>
          <t>No</t>
        </is>
      </c>
      <c r="B56" s="123" t="inlineStr">
        <is>
          <t>Casing &amp; Top Flavor
NAV Item Code</t>
        </is>
      </c>
      <c r="C56" s="123" t="inlineStr">
        <is>
          <t>Application Amount
(mg/stick)</t>
        </is>
      </c>
      <c r="D56" s="123" t="inlineStr">
        <is>
          <t>Blend Ratio</t>
        </is>
      </c>
      <c r="E56" s="124" t="n"/>
      <c r="F56" s="124" t="n"/>
      <c r="G56" s="125" t="inlineStr">
        <is>
          <t>Price
(USD/KG)</t>
        </is>
      </c>
      <c r="H56" s="125" t="inlineStr">
        <is>
          <t>1,000 Sticks Price
(USD)</t>
        </is>
      </c>
      <c r="I56" s="126" t="n"/>
      <c r="J56" s="126" t="n"/>
      <c r="K56" s="127" t="n"/>
      <c r="L56" s="124" t="n"/>
      <c r="M56" s="124" t="n"/>
      <c r="N56" s="124" t="n"/>
      <c r="O56" s="124" t="n"/>
      <c r="P56" s="124" t="n"/>
      <c r="Q56" s="38" t="n"/>
      <c r="R56" s="14" t="n"/>
    </row>
    <row r="57" ht="33" customHeight="1">
      <c r="A57" s="128" t="n">
        <v>1</v>
      </c>
      <c r="B57" s="129">
        <f>E22</f>
        <v/>
      </c>
      <c r="C57" s="130">
        <f>H29</f>
        <v/>
      </c>
      <c r="D57" s="131">
        <f>E23</f>
        <v/>
      </c>
      <c r="E57" s="132" t="n"/>
      <c r="F57" s="124" t="n"/>
      <c r="G57" s="133">
        <f>J29</f>
        <v/>
      </c>
      <c r="H57" s="133">
        <f>G57*(C57/1000000)*1000</f>
        <v/>
      </c>
      <c r="I57" s="126" t="n"/>
      <c r="J57" s="126" t="n"/>
      <c r="K57" s="134" t="n"/>
      <c r="L57" s="124" t="n"/>
      <c r="M57" s="124" t="n"/>
      <c r="N57" s="124" t="n"/>
      <c r="O57" s="124" t="n"/>
      <c r="P57" s="124" t="n"/>
      <c r="Q57" s="38" t="n"/>
      <c r="R57" s="14" t="n"/>
    </row>
    <row r="58" ht="36.75" customHeight="1">
      <c r="A58" s="128" t="n">
        <v>2</v>
      </c>
      <c r="B58" s="129">
        <f>E35</f>
        <v/>
      </c>
      <c r="C58" s="130">
        <f>H40</f>
        <v/>
      </c>
      <c r="D58" s="131">
        <f>E36</f>
        <v/>
      </c>
      <c r="E58" s="132" t="n"/>
      <c r="F58" s="124" t="n"/>
      <c r="G58" s="133">
        <f>J40</f>
        <v/>
      </c>
      <c r="H58" s="133">
        <f>G58*(C58/1000000)*1000</f>
        <v/>
      </c>
      <c r="I58" s="126" t="n"/>
      <c r="J58" s="126" t="n"/>
      <c r="K58" s="134" t="n"/>
      <c r="L58" s="124" t="n"/>
      <c r="M58" s="124" t="n"/>
      <c r="N58" s="124" t="n"/>
      <c r="O58" s="124" t="n"/>
      <c r="P58" s="124" t="n"/>
      <c r="Q58" s="38" t="n"/>
      <c r="R58" s="14" t="n"/>
    </row>
    <row r="59" ht="28.25" customHeight="1">
      <c r="A59" s="128" t="n">
        <v>3</v>
      </c>
      <c r="B59" s="129">
        <f>E48</f>
        <v/>
      </c>
      <c r="C59" s="130">
        <f>H53</f>
        <v/>
      </c>
      <c r="D59" s="131">
        <f>E49</f>
        <v/>
      </c>
      <c r="E59" s="132" t="n"/>
      <c r="F59" s="124" t="n"/>
      <c r="G59" s="133">
        <f>J53</f>
        <v/>
      </c>
      <c r="H59" s="133">
        <f>G59*(C59/1000000)*1000</f>
        <v/>
      </c>
      <c r="I59" s="126" t="n"/>
      <c r="J59" s="126" t="n"/>
      <c r="K59" s="134" t="n"/>
      <c r="L59" s="124" t="n"/>
      <c r="M59" s="124" t="n"/>
      <c r="N59" s="124" t="n"/>
      <c r="O59" s="124" t="n"/>
      <c r="P59" s="124" t="n"/>
      <c r="Q59" s="38" t="n"/>
      <c r="R59" s="14" t="n"/>
    </row>
    <row r="60" ht="28.25" customHeight="1">
      <c r="A60" s="124" t="n"/>
      <c r="B60" s="135" t="n"/>
      <c r="C60" s="124" t="n"/>
      <c r="D60" s="136" t="n"/>
      <c r="E60" s="124" t="n"/>
      <c r="F60" s="124" t="n"/>
      <c r="G60" s="137" t="inlineStr">
        <is>
          <t>Total Price
(USD/1,000 Sticks)</t>
        </is>
      </c>
      <c r="H60" s="138">
        <f>SUM(H57:H59)</f>
        <v/>
      </c>
      <c r="I60" s="126" t="n"/>
      <c r="J60" s="126" t="n"/>
      <c r="K60" s="127" t="n"/>
      <c r="L60" s="124" t="n"/>
      <c r="M60" s="124" t="n"/>
      <c r="N60" s="124" t="n"/>
      <c r="O60" s="124" t="n"/>
      <c r="P60" s="124" t="n"/>
      <c r="Q60" s="38" t="n"/>
      <c r="R60" s="14" t="n"/>
    </row>
    <row r="61" ht="15" customHeight="1">
      <c r="A61" s="124" t="n"/>
      <c r="B61" s="124" t="n"/>
      <c r="C61" s="124" t="n"/>
      <c r="D61" s="124" t="n"/>
      <c r="E61" s="124" t="n"/>
      <c r="F61" s="124" t="n"/>
      <c r="G61" s="139" t="n"/>
      <c r="H61" s="127" t="n"/>
      <c r="I61" s="140" t="n"/>
      <c r="J61" s="140" t="n"/>
      <c r="K61" s="127" t="n"/>
      <c r="L61" s="124" t="n"/>
      <c r="M61" s="124" t="n"/>
      <c r="N61" s="124" t="n"/>
      <c r="O61" s="124" t="n"/>
      <c r="P61" s="124" t="n"/>
      <c r="Q61" s="124" t="n"/>
      <c r="R61" s="14" t="n"/>
    </row>
    <row r="62" ht="15" customHeight="1">
      <c r="A62" s="124" t="n"/>
      <c r="B62" s="124" t="n"/>
      <c r="C62" s="124" t="n"/>
      <c r="D62" s="124" t="n"/>
      <c r="E62" s="124" t="n"/>
      <c r="F62" s="124" t="n"/>
      <c r="G62" s="139" t="n"/>
      <c r="H62" s="127" t="n"/>
      <c r="I62" s="140" t="n"/>
      <c r="J62" s="140" t="n"/>
      <c r="K62" s="127" t="n"/>
      <c r="L62" s="124" t="n"/>
      <c r="M62" s="124" t="n"/>
      <c r="N62" s="124" t="n"/>
      <c r="O62" s="124" t="n"/>
      <c r="P62" s="124" t="n"/>
      <c r="Q62" s="124" t="n"/>
      <c r="R62" s="14" t="n"/>
    </row>
    <row r="63" ht="15.75" customHeight="1">
      <c r="A63" s="141" t="inlineStr">
        <is>
          <t>Prepared By</t>
        </is>
      </c>
      <c r="B63" s="24" t="n"/>
      <c r="C63" s="24" t="n"/>
      <c r="D63" s="24" t="n"/>
      <c r="E63" s="24" t="n"/>
      <c r="F63" s="142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2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3" t="inlineStr">
        <is>
          <t>Position : Flavourist</t>
        </is>
      </c>
      <c r="B64" s="11" t="n"/>
      <c r="C64" s="11" t="n"/>
      <c r="D64" s="11" t="n"/>
      <c r="E64" s="9" t="n"/>
      <c r="F64" s="143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3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4" t="inlineStr">
        <is>
          <t>Name : Lyla Isro</t>
        </is>
      </c>
      <c r="B65" s="17" t="n"/>
      <c r="C65" s="17" t="n"/>
      <c r="D65" s="17" t="n"/>
      <c r="E65" s="16" t="n"/>
      <c r="F65" s="144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4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5" t="inlineStr">
        <is>
          <t>Date : 08 July 2026</t>
        </is>
      </c>
      <c r="B66" s="21" t="n"/>
      <c r="C66" s="21" t="n"/>
      <c r="D66" s="21" t="n"/>
      <c r="E66" s="20" t="n"/>
      <c r="F66" s="146" t="inlineStr">
        <is>
          <t>Date : 08 July 2026</t>
        </is>
      </c>
      <c r="G66" s="21" t="n"/>
      <c r="H66" s="21" t="n"/>
      <c r="I66" s="21" t="n"/>
      <c r="J66" s="21" t="n"/>
      <c r="K66" s="21" t="n"/>
      <c r="L66" s="20" t="n"/>
      <c r="M66" s="146" t="inlineStr">
        <is>
          <t>Date : 08 July 2026</t>
        </is>
      </c>
      <c r="N66" s="21" t="n"/>
      <c r="O66" s="21" t="n"/>
      <c r="P66" s="21" t="n"/>
      <c r="Q66" s="20" t="n"/>
      <c r="R66" s="14" t="n"/>
    </row>
    <row r="67" ht="15" customHeight="1">
      <c r="A67" s="147" t="inlineStr">
        <is>
          <t xml:space="preserve">Signature : </t>
        </is>
      </c>
      <c r="B67" s="11" t="n"/>
      <c r="C67" s="11" t="n"/>
      <c r="D67" s="11" t="n"/>
      <c r="E67" s="148" t="n"/>
      <c r="F67" s="147" t="inlineStr">
        <is>
          <t>Signature:</t>
        </is>
      </c>
      <c r="G67" s="149" t="n"/>
      <c r="H67" s="106" t="n"/>
      <c r="I67" s="107" t="n"/>
      <c r="J67" s="150" t="n"/>
      <c r="K67" s="151" t="n"/>
      <c r="L67" s="152" t="n"/>
      <c r="M67" s="153" t="inlineStr">
        <is>
          <t>Signature:</t>
        </is>
      </c>
      <c r="N67" s="148" t="n"/>
      <c r="O67" s="148" t="n"/>
      <c r="P67" s="148" t="n"/>
      <c r="Q67" s="152" t="n"/>
      <c r="R67" s="14" t="n"/>
    </row>
    <row r="68" ht="14.5" customHeight="1">
      <c r="A68" s="154" t="n"/>
      <c r="B68" s="135" t="n"/>
      <c r="C68" s="135" t="n"/>
      <c r="D68" s="135" t="n"/>
      <c r="E68" s="135" t="n"/>
      <c r="F68" s="154" t="n"/>
      <c r="G68" s="155" t="n"/>
      <c r="H68" s="156" t="n"/>
      <c r="I68" s="157" t="n"/>
      <c r="J68" s="157" t="n"/>
      <c r="K68" s="156" t="n"/>
      <c r="L68" s="158" t="n"/>
      <c r="M68" s="135" t="n"/>
      <c r="N68" s="135" t="n"/>
      <c r="O68" s="135" t="n"/>
      <c r="P68" s="135" t="n"/>
      <c r="Q68" s="158" t="n"/>
      <c r="R68" s="14" t="n"/>
    </row>
    <row r="69" ht="14.5" customHeight="1">
      <c r="A69" s="154" t="n"/>
      <c r="B69" s="135" t="n"/>
      <c r="C69" s="135" t="n"/>
      <c r="D69" s="135" t="n"/>
      <c r="E69" s="135" t="n"/>
      <c r="F69" s="154" t="n"/>
      <c r="G69" s="155" t="n"/>
      <c r="H69" s="156" t="n"/>
      <c r="I69" s="157" t="n"/>
      <c r="J69" s="157" t="n"/>
      <c r="K69" s="156" t="n"/>
      <c r="L69" s="158" t="n"/>
      <c r="M69" s="135" t="n"/>
      <c r="N69" s="135" t="n"/>
      <c r="O69" s="135" t="n"/>
      <c r="P69" s="135" t="n"/>
      <c r="Q69" s="158" t="n"/>
      <c r="R69" s="14" t="n"/>
    </row>
    <row r="70" ht="14.5" customHeight="1">
      <c r="A70" s="159" t="n"/>
      <c r="B70" s="160" t="n"/>
      <c r="C70" s="160" t="n"/>
      <c r="D70" s="160" t="n"/>
      <c r="E70" s="160" t="n"/>
      <c r="F70" s="159" t="n"/>
      <c r="G70" s="161" t="n"/>
      <c r="H70" s="162" t="n"/>
      <c r="I70" s="163" t="n"/>
      <c r="J70" s="163" t="n"/>
      <c r="K70" s="162" t="n"/>
      <c r="L70" s="164" t="n"/>
      <c r="M70" s="160" t="n"/>
      <c r="N70" s="160" t="n"/>
      <c r="O70" s="160" t="n"/>
      <c r="P70" s="160" t="n"/>
      <c r="Q70" s="164" t="n"/>
      <c r="R70" s="14" t="n"/>
    </row>
    <row r="71" ht="14.5" customHeight="1">
      <c r="A71" s="135" t="n"/>
      <c r="B71" s="135" t="n"/>
      <c r="C71" s="135" t="n"/>
      <c r="D71" s="135" t="n"/>
      <c r="E71" s="135" t="n"/>
      <c r="F71" s="135" t="n"/>
      <c r="G71" s="155" t="n"/>
      <c r="H71" s="156" t="n"/>
      <c r="I71" s="157" t="n"/>
      <c r="J71" s="157" t="n"/>
      <c r="K71" s="156" t="n"/>
      <c r="L71" s="135" t="n"/>
      <c r="M71" s="135" t="n"/>
      <c r="N71" s="135" t="n"/>
      <c r="O71" s="135" t="n"/>
      <c r="P71" s="135" t="n"/>
      <c r="Q71" s="135" t="n"/>
      <c r="R71" s="14" t="n"/>
    </row>
    <row r="72" ht="14.5" customHeight="1">
      <c r="A72" s="135" t="n"/>
      <c r="B72" s="135" t="n"/>
      <c r="C72" s="135" t="n"/>
      <c r="D72" s="135" t="n"/>
      <c r="E72" s="135" t="n"/>
      <c r="F72" s="135" t="n"/>
      <c r="G72" s="155" t="n"/>
      <c r="H72" s="156" t="n"/>
      <c r="I72" s="157" t="n"/>
      <c r="J72" s="157" t="n"/>
      <c r="K72" s="156" t="n"/>
      <c r="L72" s="135" t="n"/>
      <c r="M72" s="135" t="n"/>
      <c r="N72" s="135" t="n"/>
      <c r="O72" s="135" t="n"/>
      <c r="P72" s="135" t="n"/>
      <c r="Q72" s="135" t="n"/>
      <c r="R72" s="14" t="n"/>
    </row>
    <row r="73" ht="15" customHeight="1">
      <c r="A73" s="165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7" t="inlineStr">
        <is>
          <t>Physical State</t>
        </is>
      </c>
      <c r="F76" s="62" t="inlineStr">
        <is>
          <t>CAS Number</t>
        </is>
      </c>
      <c r="G76" s="168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75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76" t="inlineStr">
        <is>
          <t>Total</t>
        </is>
      </c>
      <c r="B80" s="76" t="n"/>
      <c r="C80" s="77" t="n"/>
      <c r="D80" s="78" t="n"/>
      <c r="E80" s="76" t="n"/>
      <c r="F80" s="76" t="n"/>
      <c r="G80" s="79">
        <f>SUM(G77:G79)</f>
        <v/>
      </c>
      <c r="H80" s="80">
        <f>SUM(H77:H79)</f>
        <v/>
      </c>
      <c r="I80" s="81" t="n"/>
      <c r="J80" s="82">
        <f>SUM(J77:J79)</f>
        <v/>
      </c>
      <c r="K80" s="80">
        <f>SUM(K77:K79)</f>
        <v/>
      </c>
      <c r="L80" s="83" t="n"/>
      <c r="M80" s="84" t="n"/>
      <c r="N80" s="85" t="n"/>
      <c r="O80" s="85" t="n"/>
      <c r="P80" s="85" t="n"/>
      <c r="Q80" s="85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74" t="n"/>
      <c r="H81" s="69" t="n"/>
      <c r="I81" s="89" t="n"/>
      <c r="J81" s="89" t="n"/>
      <c r="K81" s="90" t="n"/>
      <c r="L81" s="75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69" t="n"/>
      <c r="I82" s="89" t="n"/>
      <c r="J82" s="89" t="n"/>
      <c r="K82" s="90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69" t="n"/>
      <c r="I83" s="89" t="n"/>
      <c r="J83" s="89" t="n"/>
      <c r="K83" s="90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69" t="n"/>
      <c r="I84" s="89" t="n"/>
      <c r="J84" s="89" t="n"/>
      <c r="K84" s="90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69" t="n"/>
      <c r="I85" s="89" t="n"/>
      <c r="J85" s="89" t="n"/>
      <c r="K85" s="90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69" t="n"/>
      <c r="I86" s="89" t="n"/>
      <c r="J86" s="89" t="n"/>
      <c r="K86" s="90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1" t="n"/>
      <c r="B87" s="24" t="n"/>
      <c r="C87" s="24" t="n"/>
      <c r="D87" s="24" t="n"/>
      <c r="E87" s="24" t="n"/>
      <c r="F87" s="25" t="n"/>
      <c r="G87" s="169" t="n"/>
      <c r="H87" s="170" t="n"/>
      <c r="I87" s="171" t="n"/>
      <c r="J87" s="172" t="n"/>
      <c r="K87" s="173" t="n"/>
      <c r="L87" s="91" t="n"/>
      <c r="M87" s="174" t="n"/>
      <c r="N87" s="175" t="n"/>
      <c r="O87" s="175" t="n"/>
      <c r="P87" s="175" t="n"/>
      <c r="Q87" s="176" t="n"/>
      <c r="R87" s="14" t="n"/>
    </row>
    <row r="88" ht="15" customHeight="1">
      <c r="A88" s="124" t="n"/>
      <c r="B88" s="124" t="n"/>
      <c r="C88" s="124" t="n"/>
      <c r="D88" s="124" t="n"/>
      <c r="E88" s="124" t="n"/>
      <c r="F88" s="124" t="n"/>
      <c r="G88" s="139" t="n"/>
      <c r="H88" s="127" t="n"/>
      <c r="I88" s="140" t="n"/>
      <c r="J88" s="140" t="n"/>
      <c r="K88" s="127" t="n"/>
      <c r="L88" s="124" t="n"/>
      <c r="M88" s="124" t="n"/>
      <c r="N88" s="124" t="n"/>
      <c r="O88" s="124" t="n"/>
      <c r="P88" s="124" t="n"/>
      <c r="Q88" s="124" t="n"/>
      <c r="R88" s="14" t="n"/>
    </row>
    <row r="89" ht="15" customHeight="1">
      <c r="A89" s="165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7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177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7" t="n"/>
      <c r="N95" s="72" t="n"/>
      <c r="O95" s="66" t="n"/>
      <c r="P95" s="66" t="n"/>
      <c r="Q95" s="72" t="n"/>
      <c r="R95" s="14" t="n"/>
    </row>
    <row r="96" ht="14.5" customHeight="1">
      <c r="A96" s="76" t="inlineStr">
        <is>
          <t>Total</t>
        </is>
      </c>
      <c r="B96" s="76" t="n"/>
      <c r="C96" s="178" t="n"/>
      <c r="D96" s="179" t="n"/>
      <c r="E96" s="76" t="n"/>
      <c r="F96" s="76" t="n"/>
      <c r="G96" s="79">
        <f>SUM(G93:G95)</f>
        <v/>
      </c>
      <c r="H96" s="80">
        <f>SUM(H93:H95)</f>
        <v/>
      </c>
      <c r="I96" s="180" t="n"/>
      <c r="J96" s="82">
        <f>SUM(J93:J95)</f>
        <v/>
      </c>
      <c r="K96" s="80">
        <f>SUM(K93:K95)</f>
        <v/>
      </c>
      <c r="L96" s="77" t="n"/>
      <c r="M96" s="181" t="n"/>
      <c r="N96" s="85" t="n"/>
      <c r="O96" s="76" t="n"/>
      <c r="P96" s="76" t="n"/>
      <c r="Q96" s="85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74" t="n"/>
      <c r="H97" s="69" t="n"/>
      <c r="I97" s="182" t="n"/>
      <c r="J97" s="183" t="n"/>
      <c r="K97" s="90" t="n"/>
      <c r="L97" s="67" t="n"/>
      <c r="M97" s="177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69" t="n"/>
      <c r="I98" s="182" t="n"/>
      <c r="J98" s="183" t="n"/>
      <c r="K98" s="90" t="n"/>
      <c r="L98" s="67" t="n"/>
      <c r="M98" s="177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69" t="n"/>
      <c r="I99" s="182" t="n"/>
      <c r="J99" s="183" t="n"/>
      <c r="K99" s="90" t="n"/>
      <c r="L99" s="67" t="n"/>
      <c r="M99" s="177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69" t="n"/>
      <c r="I100" s="182" t="n"/>
      <c r="J100" s="183" t="n"/>
      <c r="K100" s="90" t="n"/>
      <c r="L100" s="67" t="n"/>
      <c r="M100" s="177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69" t="n"/>
      <c r="I101" s="182" t="n"/>
      <c r="J101" s="183" t="n"/>
      <c r="K101" s="90" t="n"/>
      <c r="L101" s="67" t="n"/>
      <c r="M101" s="184" t="n"/>
      <c r="N101" s="184" t="n"/>
      <c r="O101" s="184" t="n"/>
      <c r="P101" s="185" t="n"/>
      <c r="Q101" s="185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69" t="n"/>
      <c r="I102" s="182" t="n"/>
      <c r="J102" s="183" t="n"/>
      <c r="K102" s="90" t="n"/>
      <c r="L102" s="67" t="n"/>
      <c r="M102" s="184" t="n"/>
      <c r="N102" s="184" t="n"/>
      <c r="O102" s="184" t="n"/>
      <c r="P102" s="185" t="n"/>
      <c r="Q102" s="185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69" t="n"/>
      <c r="I103" s="182" t="n"/>
      <c r="J103" s="183" t="n"/>
      <c r="K103" s="90" t="n"/>
      <c r="L103" s="67" t="n"/>
      <c r="M103" s="184" t="n"/>
      <c r="N103" s="184" t="n"/>
      <c r="O103" s="184" t="n"/>
      <c r="P103" s="185" t="n"/>
      <c r="Q103" s="185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69" t="n"/>
      <c r="I104" s="182" t="n"/>
      <c r="J104" s="183" t="n"/>
      <c r="K104" s="90" t="n"/>
      <c r="L104" s="67" t="n"/>
      <c r="M104" s="184" t="n"/>
      <c r="N104" s="184" t="n"/>
      <c r="O104" s="184" t="n"/>
      <c r="P104" s="185" t="n"/>
      <c r="Q104" s="185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69" t="n"/>
      <c r="I105" s="182" t="n"/>
      <c r="J105" s="183" t="n"/>
      <c r="K105" s="90" t="n"/>
      <c r="L105" s="67" t="n"/>
      <c r="M105" s="184" t="n"/>
      <c r="N105" s="184" t="n"/>
      <c r="O105" s="184" t="n"/>
      <c r="P105" s="185" t="n"/>
      <c r="Q105" s="185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69" t="n"/>
      <c r="I106" s="182" t="n"/>
      <c r="J106" s="183" t="n"/>
      <c r="K106" s="90" t="n"/>
      <c r="L106" s="67" t="n"/>
      <c r="M106" s="184" t="n"/>
      <c r="N106" s="184" t="n"/>
      <c r="O106" s="184" t="n"/>
      <c r="P106" s="185" t="n"/>
      <c r="Q106" s="185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69" t="n"/>
      <c r="I107" s="182" t="n"/>
      <c r="J107" s="183" t="n"/>
      <c r="K107" s="90" t="n"/>
      <c r="L107" s="67" t="n"/>
      <c r="M107" s="184" t="n"/>
      <c r="N107" s="184" t="n"/>
      <c r="O107" s="184" t="n"/>
      <c r="P107" s="185" t="n"/>
      <c r="Q107" s="185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69" t="n"/>
      <c r="I108" s="182" t="n"/>
      <c r="J108" s="183" t="n"/>
      <c r="K108" s="90" t="n"/>
      <c r="L108" s="67" t="n"/>
      <c r="M108" s="184" t="n"/>
      <c r="N108" s="184" t="n"/>
      <c r="O108" s="184" t="n"/>
      <c r="P108" s="185" t="n"/>
      <c r="Q108" s="185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69" t="n"/>
      <c r="I109" s="182" t="n"/>
      <c r="J109" s="183" t="n"/>
      <c r="K109" s="90" t="n"/>
      <c r="L109" s="67" t="n"/>
      <c r="M109" s="184" t="n"/>
      <c r="N109" s="184" t="n"/>
      <c r="O109" s="184" t="n"/>
      <c r="P109" s="185" t="n"/>
      <c r="Q109" s="185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69" t="n"/>
      <c r="I110" s="182" t="n"/>
      <c r="J110" s="183" t="n"/>
      <c r="K110" s="90" t="n"/>
      <c r="L110" s="67" t="n"/>
      <c r="M110" s="184" t="n"/>
      <c r="N110" s="184" t="n"/>
      <c r="O110" s="184" t="n"/>
      <c r="P110" s="185" t="n"/>
      <c r="Q110" s="185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69" t="n"/>
      <c r="I111" s="182" t="n"/>
      <c r="J111" s="183" t="n"/>
      <c r="K111" s="90" t="n"/>
      <c r="L111" s="67" t="n"/>
      <c r="M111" s="184" t="n"/>
      <c r="N111" s="184" t="n"/>
      <c r="O111" s="184" t="n"/>
      <c r="P111" s="185" t="n"/>
      <c r="Q111" s="185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69" t="n"/>
      <c r="I112" s="182" t="n"/>
      <c r="J112" s="183" t="n"/>
      <c r="K112" s="90" t="n"/>
      <c r="L112" s="67" t="n"/>
      <c r="M112" s="184" t="n"/>
      <c r="N112" s="184" t="n"/>
      <c r="O112" s="184" t="n"/>
      <c r="P112" s="185" t="n"/>
      <c r="Q112" s="185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69" t="n"/>
      <c r="I113" s="182" t="n"/>
      <c r="J113" s="183" t="n"/>
      <c r="K113" s="90" t="n"/>
      <c r="L113" s="67" t="n"/>
      <c r="M113" s="184" t="n"/>
      <c r="N113" s="184" t="n"/>
      <c r="O113" s="184" t="n"/>
      <c r="P113" s="185" t="n"/>
      <c r="Q113" s="185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69" t="n"/>
      <c r="I114" s="182" t="n"/>
      <c r="J114" s="183" t="n"/>
      <c r="K114" s="90" t="n"/>
      <c r="L114" s="67" t="n"/>
      <c r="M114" s="184" t="n"/>
      <c r="N114" s="184" t="n"/>
      <c r="O114" s="184" t="n"/>
      <c r="P114" s="185" t="n"/>
      <c r="Q114" s="185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69" t="n"/>
      <c r="I115" s="182" t="n"/>
      <c r="J115" s="183" t="n"/>
      <c r="K115" s="90" t="n"/>
      <c r="L115" s="67" t="n"/>
      <c r="M115" s="184" t="n"/>
      <c r="N115" s="184" t="n"/>
      <c r="O115" s="184" t="n"/>
      <c r="P115" s="185" t="n"/>
      <c r="Q115" s="185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69" t="n"/>
      <c r="I116" s="182" t="n"/>
      <c r="J116" s="183" t="n"/>
      <c r="K116" s="90" t="n"/>
      <c r="L116" s="67" t="n"/>
      <c r="M116" s="184" t="n"/>
      <c r="N116" s="184" t="n"/>
      <c r="O116" s="184" t="n"/>
      <c r="P116" s="185" t="n"/>
      <c r="Q116" s="185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69" t="n"/>
      <c r="I117" s="182" t="n"/>
      <c r="J117" s="183" t="n"/>
      <c r="K117" s="90" t="n"/>
      <c r="L117" s="67" t="n"/>
      <c r="M117" s="184" t="n"/>
      <c r="N117" s="184" t="n"/>
      <c r="O117" s="184" t="n"/>
      <c r="P117" s="185" t="n"/>
      <c r="Q117" s="185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69" t="n"/>
      <c r="I118" s="182" t="n"/>
      <c r="J118" s="183" t="n"/>
      <c r="K118" s="90" t="n"/>
      <c r="L118" s="67" t="n"/>
      <c r="M118" s="184" t="n"/>
      <c r="N118" s="184" t="n"/>
      <c r="O118" s="184" t="n"/>
      <c r="P118" s="185" t="n"/>
      <c r="Q118" s="185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69" t="n"/>
      <c r="I119" s="182" t="n"/>
      <c r="J119" s="183" t="n"/>
      <c r="K119" s="90" t="n"/>
      <c r="L119" s="67" t="n"/>
      <c r="M119" s="184" t="n"/>
      <c r="N119" s="184" t="n"/>
      <c r="O119" s="184" t="n"/>
      <c r="P119" s="185" t="n"/>
      <c r="Q119" s="185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69" t="n"/>
      <c r="I120" s="182" t="n"/>
      <c r="J120" s="183" t="n"/>
      <c r="K120" s="90" t="n"/>
      <c r="L120" s="67" t="n"/>
      <c r="M120" s="184" t="n"/>
      <c r="N120" s="184" t="n"/>
      <c r="O120" s="184" t="n"/>
      <c r="P120" s="185" t="n"/>
      <c r="Q120" s="185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69" t="n"/>
      <c r="I121" s="182" t="n"/>
      <c r="J121" s="183" t="n"/>
      <c r="K121" s="90" t="n"/>
      <c r="L121" s="67" t="n"/>
      <c r="M121" s="184" t="n"/>
      <c r="N121" s="184" t="n"/>
      <c r="O121" s="184" t="n"/>
      <c r="P121" s="185" t="n"/>
      <c r="Q121" s="185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69" t="n"/>
      <c r="I122" s="182" t="n"/>
      <c r="J122" s="183" t="n"/>
      <c r="K122" s="90" t="n"/>
      <c r="L122" s="67" t="n"/>
      <c r="M122" s="184" t="n"/>
      <c r="N122" s="184" t="n"/>
      <c r="O122" s="184" t="n"/>
      <c r="P122" s="185" t="n"/>
      <c r="Q122" s="185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69" t="n"/>
      <c r="I123" s="182" t="n"/>
      <c r="J123" s="183" t="n"/>
      <c r="K123" s="90" t="n"/>
      <c r="L123" s="67" t="n"/>
      <c r="M123" s="184" t="n"/>
      <c r="N123" s="184" t="n"/>
      <c r="O123" s="184" t="n"/>
      <c r="P123" s="185" t="n"/>
      <c r="Q123" s="185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69" t="n"/>
      <c r="I124" s="182" t="n"/>
      <c r="J124" s="183" t="n"/>
      <c r="K124" s="90" t="n"/>
      <c r="L124" s="67" t="n"/>
      <c r="M124" s="184" t="n"/>
      <c r="N124" s="184" t="n"/>
      <c r="O124" s="184" t="n"/>
      <c r="P124" s="185" t="n"/>
      <c r="Q124" s="185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69" t="n"/>
      <c r="I125" s="182" t="n"/>
      <c r="J125" s="183" t="n"/>
      <c r="K125" s="90" t="n"/>
      <c r="L125" s="67" t="n"/>
      <c r="M125" s="184" t="n"/>
      <c r="N125" s="184" t="n"/>
      <c r="O125" s="184" t="n"/>
      <c r="P125" s="185" t="n"/>
      <c r="Q125" s="185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69" t="n"/>
      <c r="I126" s="182" t="n"/>
      <c r="J126" s="183" t="n"/>
      <c r="K126" s="90" t="n"/>
      <c r="L126" s="67" t="n"/>
      <c r="M126" s="184" t="n"/>
      <c r="N126" s="184" t="n"/>
      <c r="O126" s="184" t="n"/>
      <c r="P126" s="185" t="n"/>
      <c r="Q126" s="185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69" t="n"/>
      <c r="I127" s="182" t="n"/>
      <c r="J127" s="183" t="n"/>
      <c r="K127" s="90" t="n"/>
      <c r="L127" s="67" t="n"/>
      <c r="M127" s="186" t="n"/>
      <c r="N127" s="186" t="n"/>
      <c r="O127" s="186" t="n"/>
      <c r="P127" s="187" t="n"/>
      <c r="Q127" s="187" t="n"/>
      <c r="R127" s="14" t="n"/>
    </row>
    <row r="128" hidden="1" ht="14.5" customHeight="1">
      <c r="A128" s="91" t="n"/>
      <c r="B128" s="24" t="n"/>
      <c r="C128" s="24" t="n"/>
      <c r="D128" s="24" t="n"/>
      <c r="E128" s="24" t="n"/>
      <c r="F128" s="25" t="n"/>
      <c r="G128" s="169" t="n"/>
      <c r="H128" s="170" t="n"/>
      <c r="I128" s="171" t="n"/>
      <c r="J128" s="172" t="n"/>
      <c r="K128" s="173" t="n"/>
      <c r="L128" s="91" t="n"/>
      <c r="M128" s="174" t="n"/>
      <c r="N128" s="175" t="n"/>
      <c r="O128" s="175" t="n"/>
      <c r="P128" s="175" t="n"/>
      <c r="Q128" s="175" t="n"/>
      <c r="R128" s="14" t="n"/>
    </row>
    <row r="129" ht="14.5" customHeight="1">
      <c r="A129" s="38" t="n"/>
      <c r="B129" s="38" t="n"/>
      <c r="C129" s="38" t="n"/>
      <c r="D129" s="124" t="n"/>
      <c r="E129" s="124" t="n"/>
      <c r="F129" s="124" t="n"/>
      <c r="G129" s="139" t="n"/>
      <c r="H129" s="127" t="n"/>
      <c r="I129" s="140" t="n"/>
      <c r="J129" s="140" t="n"/>
      <c r="K129" s="127" t="n"/>
      <c r="L129" s="124" t="n"/>
      <c r="M129" s="124" t="n"/>
      <c r="N129" s="124" t="n"/>
      <c r="O129" s="124" t="n"/>
      <c r="P129" s="124" t="n"/>
      <c r="Q129" s="124" t="n"/>
      <c r="R129" s="14" t="n"/>
    </row>
    <row r="130">
      <c r="A130" s="165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7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75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66" t="n"/>
      <c r="N136" s="66" t="n"/>
      <c r="O136" s="66" t="n"/>
      <c r="P136" s="66" t="n"/>
      <c r="Q136" s="66" t="n"/>
      <c r="R136" s="14" t="n"/>
    </row>
    <row r="137">
      <c r="A137" s="76" t="inlineStr">
        <is>
          <t>Total</t>
        </is>
      </c>
      <c r="B137" s="76" t="n"/>
      <c r="C137" s="178" t="n"/>
      <c r="D137" s="179" t="n"/>
      <c r="E137" s="76" t="n"/>
      <c r="F137" s="76" t="n"/>
      <c r="G137" s="79">
        <f>SUM(G134:G136)</f>
        <v/>
      </c>
      <c r="H137" s="80">
        <f>SUM(H134:H136)</f>
        <v/>
      </c>
      <c r="I137" s="180" t="n"/>
      <c r="J137" s="82">
        <f>SUM(J134:J136)</f>
        <v/>
      </c>
      <c r="K137" s="80">
        <f>SUM(K134:K136)</f>
        <v/>
      </c>
      <c r="L137" s="83" t="n"/>
      <c r="M137" s="76" t="n"/>
      <c r="N137" s="76" t="n"/>
      <c r="O137" s="76" t="n"/>
      <c r="P137" s="76" t="n"/>
      <c r="Q137" s="76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74" t="n"/>
      <c r="H138" s="69" t="n"/>
      <c r="I138" s="182" t="n"/>
      <c r="J138" s="183" t="n"/>
      <c r="K138" s="90" t="n"/>
      <c r="L138" s="75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69" t="n"/>
      <c r="I139" s="182" t="n"/>
      <c r="J139" s="183" t="n"/>
      <c r="K139" s="90" t="n"/>
      <c r="L139" s="75" t="n"/>
      <c r="M139" s="184" t="n"/>
      <c r="N139" s="184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69" t="n"/>
      <c r="I140" s="182" t="n"/>
      <c r="J140" s="183" t="n"/>
      <c r="K140" s="90" t="n"/>
      <c r="L140" s="75" t="n"/>
      <c r="M140" s="184" t="n"/>
      <c r="N140" s="184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69" t="n"/>
      <c r="I141" s="182" t="n"/>
      <c r="J141" s="183" t="n"/>
      <c r="K141" s="90" t="n"/>
      <c r="L141" s="75" t="n"/>
      <c r="M141" s="184" t="n"/>
      <c r="N141" s="184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69" t="n"/>
      <c r="I142" s="182" t="n"/>
      <c r="J142" s="183" t="n"/>
      <c r="K142" s="90" t="n"/>
      <c r="L142" s="75" t="n"/>
      <c r="M142" s="186" t="n"/>
      <c r="N142" s="186" t="n"/>
      <c r="O142" s="66" t="n"/>
      <c r="P142" s="66" t="n"/>
      <c r="Q142" s="66" t="n"/>
      <c r="R142" s="14" t="n"/>
    </row>
    <row r="143" hidden="1">
      <c r="A143" s="91" t="n"/>
      <c r="B143" s="24" t="n"/>
      <c r="C143" s="24" t="n"/>
      <c r="D143" s="24" t="n"/>
      <c r="E143" s="24" t="n"/>
      <c r="F143" s="25" t="n"/>
      <c r="G143" s="169" t="n"/>
      <c r="H143" s="188" t="n"/>
      <c r="I143" s="171" t="n"/>
      <c r="J143" s="172" t="n"/>
      <c r="K143" s="173" t="n"/>
      <c r="L143" s="91" t="n"/>
      <c r="M143" s="174" t="n"/>
      <c r="N143" s="175" t="n"/>
      <c r="O143" s="175" t="n"/>
      <c r="P143" s="175" t="n"/>
      <c r="Q143" s="175" t="n"/>
      <c r="R143" s="14" t="n"/>
    </row>
  </sheetData>
  <mergeCells count="123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89" t="inlineStr">
        <is>
          <t>Item Code</t>
        </is>
      </c>
      <c r="B1" s="189" t="inlineStr">
        <is>
          <t>SAAT</t>
        </is>
      </c>
      <c r="C1" s="189" t="inlineStr">
        <is>
          <t>BOL</t>
        </is>
      </c>
      <c r="D1" s="189" t="inlineStr">
        <is>
          <t>Jumlah *</t>
        </is>
      </c>
      <c r="E1" s="189" t="inlineStr">
        <is>
          <t>Item Name</t>
        </is>
      </c>
      <c r="F1" s="189" t="inlineStr">
        <is>
          <t>Chemical Name</t>
        </is>
      </c>
      <c r="G1" s="189" t="inlineStr">
        <is>
          <t>Price (USD)/KG</t>
        </is>
      </c>
      <c r="H1" s="189" t="inlineStr">
        <is>
          <t>CAS Number</t>
        </is>
      </c>
      <c r="I1" s="189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Dosage mg/stick</t>
        </is>
      </c>
      <c r="E19" s="6" t="inlineStr">
        <is>
          <t>Addition Sequence</t>
        </is>
      </c>
      <c r="F19" s="6" t="inlineStr">
        <is>
          <t>Temperature</t>
        </is>
      </c>
      <c r="G19" s="6" t="inlineStr">
        <is>
          <t>Agitation Rate</t>
        </is>
      </c>
      <c r="H19" s="6" t="inlineStr">
        <is>
          <t>Mixing Duration</t>
        </is>
      </c>
      <c r="I19" s="6" t="inlineStr">
        <is>
          <t>Work Instruction Override</t>
        </is>
      </c>
      <c r="J19" s="6" t="inlineStr">
        <is>
          <t>Process Role</t>
        </is>
      </c>
      <c r="K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7" t="n">
        <v>1.25</v>
      </c>
      <c r="E20" s="5" t="n">
        <v>1</v>
      </c>
      <c r="F20" s="5" t="n">
        <v/>
      </c>
      <c r="G20" s="5" t="n">
        <v/>
      </c>
      <c r="H20" s="5" t="n">
        <v/>
      </c>
      <c r="I20" s="5" t="n">
        <v/>
      </c>
      <c r="J20" s="5" t="n">
        <v/>
      </c>
      <c r="K20" s="5" t="n">
        <v/>
      </c>
    </row>
    <row r="21">
      <c r="A21" s="5" t="inlineStr">
        <is>
          <t>Casing Rajangan</t>
        </is>
      </c>
      <c r="B21" s="5" t="inlineStr">
        <is>
          <t>GEN-CHM-00015</t>
        </is>
      </c>
      <c r="C21" s="5" t="inlineStr">
        <is>
          <t>INVERT SUGAR</t>
        </is>
      </c>
      <c r="D21" s="7" t="n">
        <v>2</v>
      </c>
      <c r="E21" s="5" t="n">
        <v>2</v>
      </c>
      <c r="F21" s="5" t="n">
        <v/>
      </c>
      <c r="G21" s="5" t="n">
        <v/>
      </c>
      <c r="H21" s="5" t="n">
        <v/>
      </c>
      <c r="I21" s="5" t="n">
        <v/>
      </c>
      <c r="J21" s="5" t="n">
        <v/>
      </c>
      <c r="K21" s="5" t="n">
        <v/>
      </c>
    </row>
    <row r="22">
      <c r="A22" s="5" t="inlineStr">
        <is>
          <t>Casing Rajangan</t>
        </is>
      </c>
      <c r="B22" s="5" t="inlineStr">
        <is>
          <t>GEN-CHM-00016</t>
        </is>
      </c>
      <c r="C22" s="5" t="inlineStr">
        <is>
          <t>SV-PROPYLENE GLYCOL</t>
        </is>
      </c>
      <c r="D22" s="7" t="n">
        <v>2</v>
      </c>
      <c r="E22" s="5" t="n">
        <v>2</v>
      </c>
      <c r="F22" s="5" t="n">
        <v/>
      </c>
      <c r="G22" s="5" t="n">
        <v/>
      </c>
      <c r="H22" s="5" t="n">
        <v/>
      </c>
      <c r="I22" s="5" t="n">
        <v/>
      </c>
      <c r="J22" s="5" t="n">
        <v/>
      </c>
      <c r="K22" s="5" t="n">
        <v/>
      </c>
    </row>
    <row r="23">
      <c r="A23" s="5" t="inlineStr">
        <is>
          <t>Casing Krosok</t>
        </is>
      </c>
      <c r="B23" s="5" t="inlineStr">
        <is>
          <t>GEN-WA-00001</t>
        </is>
      </c>
      <c r="C23" s="5" t="inlineStr">
        <is>
          <t>WATER</t>
        </is>
      </c>
      <c r="D23" s="7" t="n">
        <v>1</v>
      </c>
      <c r="E23" s="5" t="n">
        <v>1</v>
      </c>
      <c r="F23" s="5" t="n">
        <v/>
      </c>
      <c r="G23" s="5" t="n">
        <v/>
      </c>
      <c r="H23" s="5" t="n">
        <v/>
      </c>
      <c r="I23" s="5" t="n">
        <v/>
      </c>
      <c r="J23" s="5" t="n">
        <v/>
      </c>
      <c r="K23" s="5" t="n">
        <v/>
      </c>
    </row>
    <row r="24">
      <c r="A24" s="5" t="inlineStr">
        <is>
          <t>Top Flavor</t>
        </is>
      </c>
      <c r="B24" s="5" t="inlineStr">
        <is>
          <t>GEN-WA-00001</t>
        </is>
      </c>
      <c r="C24" s="5" t="inlineStr">
        <is>
          <t>WATER</t>
        </is>
      </c>
      <c r="D24" s="7" t="n">
        <v>1</v>
      </c>
      <c r="E24" s="5" t="n">
        <v>1</v>
      </c>
      <c r="F24" s="5" t="n">
        <v/>
      </c>
      <c r="G24" s="5" t="n">
        <v/>
      </c>
      <c r="H24" s="5" t="n">
        <v/>
      </c>
      <c r="I24" s="5" t="n">
        <v/>
      </c>
      <c r="J24" s="5" t="n">
        <v/>
      </c>
      <c r="K24" s="5" t="n">
        <v/>
      </c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7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7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7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7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7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7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7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7" t="n"/>
      <c r="E269" s="5" t="n"/>
      <c r="F269" s="5" t="n"/>
      <c r="G269" s="5" t="n"/>
      <c r="H269" s="5" t="n"/>
      <c r="I269" s="5" t="n"/>
      <c r="J269" s="5" t="n"/>
      <c r="K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2026-07-08T03:08:56Z</dcterms:created>
  <dcterms:modified xsi:type="dcterms:W3CDTF">2026-07-08T03:08:57Z</dcterms:modified>
</cp:coreProperties>
</file>