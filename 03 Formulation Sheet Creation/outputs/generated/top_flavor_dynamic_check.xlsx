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5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2026-07-07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Sample</t>
        </is>
      </c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Low</t>
        </is>
      </c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Spice</t>
        </is>
      </c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None</t>
        </is>
      </c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Mild</t>
        </is>
      </c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/>
      <c r="B26" s="66" t="n"/>
      <c r="C26" s="67" t="n"/>
      <c r="D26" s="25" t="n"/>
      <c r="E26" s="66" t="n"/>
      <c r="F26" s="66" t="n"/>
      <c r="G26" s="68" t="n"/>
      <c r="H26" s="69" t="n"/>
      <c r="I26" s="70" t="n"/>
      <c r="J26" s="70" t="n"/>
      <c r="K26" s="71" t="n"/>
      <c r="L26" s="66" t="n"/>
      <c r="M26" s="72" t="n"/>
      <c r="N26" s="73" t="n"/>
      <c r="O26" s="73" t="n"/>
      <c r="P26" s="73" t="n"/>
      <c r="Q26" s="73" t="n"/>
      <c r="R26" s="74" t="n"/>
    </row>
    <row r="27" ht="16" customHeight="1">
      <c r="A27" s="66" t="n"/>
      <c r="B27" s="66" t="n"/>
      <c r="C27" s="67" t="n"/>
      <c r="D27" s="25" t="n"/>
      <c r="E27" s="66" t="n"/>
      <c r="F27" s="66" t="n"/>
      <c r="G27" s="75" t="n"/>
      <c r="H27" s="69" t="n"/>
      <c r="I27" s="70" t="n"/>
      <c r="J27" s="70" t="n"/>
      <c r="K27" s="71" t="n"/>
      <c r="L27" s="76" t="n"/>
      <c r="M27" s="72" t="n"/>
      <c r="N27" s="73" t="n"/>
      <c r="O27" s="73" t="n"/>
      <c r="P27" s="73" t="n"/>
      <c r="Q27" s="73" t="n"/>
      <c r="R27" s="74" t="n"/>
    </row>
    <row r="28" ht="15" customHeight="1">
      <c r="A28" s="66" t="n"/>
      <c r="B28" s="66" t="n"/>
      <c r="C28" s="67" t="n"/>
      <c r="D28" s="25" t="n"/>
      <c r="E28" s="66" t="n"/>
      <c r="F28" s="66" t="n"/>
      <c r="G28" s="75" t="n"/>
      <c r="H28" s="69" t="n"/>
      <c r="I28" s="70" t="n"/>
      <c r="J28" s="70" t="n"/>
      <c r="K28" s="71" t="n"/>
      <c r="L28" s="76" t="n"/>
      <c r="M28" s="72" t="n"/>
      <c r="N28" s="73" t="n"/>
      <c r="O28" s="73" t="n"/>
      <c r="P28" s="73" t="n"/>
      <c r="Q28" s="73" t="n"/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71" t="n"/>
      <c r="L39" s="66" t="n"/>
      <c r="M39" s="72" t="n"/>
      <c r="N39" s="73" t="n"/>
      <c r="O39" s="73" t="n"/>
      <c r="P39" s="73" t="n"/>
      <c r="Q39" s="73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5" t="n"/>
      <c r="H40" s="69" t="n"/>
      <c r="I40" s="70" t="n"/>
      <c r="J40" s="70" t="n"/>
      <c r="K40" s="71" t="n"/>
      <c r="L40" s="76" t="n"/>
      <c r="M40" s="72" t="n"/>
      <c r="N40" s="73" t="n"/>
      <c r="O40" s="73" t="n"/>
      <c r="P40" s="73" t="n"/>
      <c r="Q40" s="73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5" t="n"/>
      <c r="H41" s="69" t="n"/>
      <c r="I41" s="70" t="n"/>
      <c r="J41" s="70" t="n"/>
      <c r="K41" s="71" t="n"/>
      <c r="L41" s="76" t="n"/>
      <c r="M41" s="72" t="n"/>
      <c r="N41" s="73" t="n"/>
      <c r="O41" s="73" t="n"/>
      <c r="P41" s="73" t="n"/>
      <c r="Q41" s="73" t="n"/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77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0.2857142857142857</v>
      </c>
      <c r="H52" s="100" t="n">
        <v>4</v>
      </c>
      <c r="I52" s="70" t="n">
        <v>0</v>
      </c>
      <c r="J52" s="70" t="n">
        <v>0</v>
      </c>
      <c r="K52" s="71" t="n">
        <v>0.04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77" t="inlineStr">
        <is>
          <t>GEN-CHM-00015</t>
        </is>
      </c>
      <c r="C53" s="67" t="inlineStr">
        <is>
          <t>INVERT SUGAR</t>
        </is>
      </c>
      <c r="D53" s="25" t="n"/>
      <c r="E53" s="66" t="inlineStr">
        <is>
          <t>Liquid</t>
        </is>
      </c>
      <c r="F53" s="66" t="inlineStr">
        <is>
          <t>8013-17-0</t>
        </is>
      </c>
      <c r="G53" s="68" t="n">
        <v>0.2857142857142857</v>
      </c>
      <c r="H53" s="100" t="n">
        <v>4</v>
      </c>
      <c r="I53" s="70" t="n">
        <v>0.7205767050561798</v>
      </c>
      <c r="J53" s="70" t="n">
        <v>0.2058790585874799</v>
      </c>
      <c r="K53" s="71" t="n">
        <v>0.04</v>
      </c>
      <c r="L53" s="76" t="n"/>
      <c r="M53" s="66" t="n">
        <v>2</v>
      </c>
      <c r="N53" s="66" t="n"/>
      <c r="O53" s="66" t="n"/>
      <c r="P53" s="66" t="n"/>
      <c r="Q53" s="66" t="inlineStr">
        <is>
          <t>Add material in sequence 2. Mix until uniform.</t>
        </is>
      </c>
      <c r="R53" s="14" t="n"/>
    </row>
    <row r="54" ht="14.5" customHeight="1">
      <c r="A54" s="66" t="n">
        <v>3</v>
      </c>
      <c r="B54" s="66" t="inlineStr">
        <is>
          <t>GEN-WA-00001</t>
        </is>
      </c>
      <c r="C54" s="66" t="inlineStr">
        <is>
          <t>WATER</t>
        </is>
      </c>
      <c r="D54" s="66" t="n"/>
      <c r="E54" s="66" t="n">
        <v/>
      </c>
      <c r="F54" s="66" t="n">
        <v/>
      </c>
      <c r="G54" s="68" t="n">
        <v>0.2857142857142857</v>
      </c>
      <c r="H54" s="100" t="n">
        <v>4</v>
      </c>
      <c r="I54" s="70" t="n">
        <v>0</v>
      </c>
      <c r="J54" s="70" t="n">
        <v>0</v>
      </c>
      <c r="K54" s="71" t="n">
        <v>0.04</v>
      </c>
      <c r="L54" s="76" t="n"/>
      <c r="M54" s="66" t="n">
        <v>3</v>
      </c>
      <c r="N54" s="66" t="n"/>
      <c r="O54" s="66" t="n"/>
      <c r="P54" s="66" t="n"/>
      <c r="Q54" s="66" t="inlineStr">
        <is>
          <t>Add material in sequence 3. Mix until uniform.</t>
        </is>
      </c>
      <c r="R54" s="14" t="n"/>
    </row>
    <row r="55" ht="14.5" customHeight="1">
      <c r="A55" s="66" t="n">
        <v>4</v>
      </c>
      <c r="B55" s="77" t="inlineStr">
        <is>
          <t>GEN-CHM-00015</t>
        </is>
      </c>
      <c r="C55" s="67" t="inlineStr">
        <is>
          <t>INVERT SUGAR</t>
        </is>
      </c>
      <c r="D55" s="25" t="n"/>
      <c r="E55" s="66" t="inlineStr">
        <is>
          <t>Liquid</t>
        </is>
      </c>
      <c r="F55" s="66" t="inlineStr">
        <is>
          <t>8013-17-0</t>
        </is>
      </c>
      <c r="G55" s="68" t="n">
        <v>0.1428571428571428</v>
      </c>
      <c r="H55" s="100" t="n">
        <v>2</v>
      </c>
      <c r="I55" s="70" t="n">
        <v>0.7205767050561798</v>
      </c>
      <c r="J55" s="70" t="n">
        <v>0.10293952929374</v>
      </c>
      <c r="K55" s="71" t="n">
        <v>0.02</v>
      </c>
      <c r="L55" s="76" t="n"/>
      <c r="M55" s="66" t="n">
        <v>4</v>
      </c>
      <c r="N55" s="66" t="n"/>
      <c r="O55" s="66" t="n"/>
      <c r="P55" s="66" t="n"/>
      <c r="Q55" s="66" t="inlineStr">
        <is>
          <t>Add material in sequence 4. Mix until uniform.</t>
        </is>
      </c>
      <c r="R55" s="14" t="n"/>
    </row>
    <row r="56" ht="48" customHeight="1">
      <c r="A56" s="80" t="inlineStr">
        <is>
          <t>Total</t>
        </is>
      </c>
      <c r="B56" s="24" t="n"/>
      <c r="C56" s="24" t="n"/>
      <c r="D56" s="24" t="n"/>
      <c r="E56" s="24" t="n"/>
      <c r="F56" s="25" t="n"/>
      <c r="G56" s="101">
        <f>SUM(G52:G55)</f>
        <v/>
      </c>
      <c r="H56" s="82">
        <f>SUM(H52:H55)</f>
        <v/>
      </c>
      <c r="I56" s="102" t="n"/>
      <c r="J56" s="103">
        <f>SUM(J52:J55)</f>
        <v/>
      </c>
      <c r="K56" s="85">
        <f>SUM(K52:K55)</f>
        <v/>
      </c>
      <c r="L56" s="86" t="n"/>
      <c r="M56" s="87" t="n"/>
      <c r="N56" s="87" t="n"/>
      <c r="O56" s="87" t="n"/>
      <c r="P56" s="87" t="n"/>
      <c r="Q56" s="87" t="n"/>
      <c r="R56" s="14" t="n"/>
    </row>
    <row r="57" ht="33" customHeight="1">
      <c r="A57" s="104" t="n"/>
      <c r="B57" s="105" t="n"/>
      <c r="C57" s="105" t="n"/>
      <c r="D57" s="105" t="n"/>
      <c r="E57" s="105" t="n"/>
      <c r="F57" s="105" t="n"/>
      <c r="G57" s="106" t="n"/>
      <c r="H57" s="107" t="n"/>
      <c r="I57" s="108" t="n"/>
      <c r="J57" s="108" t="n"/>
      <c r="K57" s="107" t="n"/>
      <c r="L57" s="105" t="n"/>
      <c r="M57" s="105" t="n"/>
      <c r="N57" s="105" t="n"/>
      <c r="O57" s="105" t="n"/>
      <c r="P57" s="105" t="n"/>
      <c r="Q57" s="105" t="n"/>
      <c r="R57" s="14" t="n"/>
    </row>
    <row r="58" ht="36.75" customHeight="1">
      <c r="A58" s="62" t="inlineStr">
        <is>
          <t>No</t>
        </is>
      </c>
      <c r="B58" s="62" t="inlineStr">
        <is>
          <t>Casing &amp; Top Flavor
NAV Item Code</t>
        </is>
      </c>
      <c r="C58" s="109" t="inlineStr">
        <is>
          <t>Application Amount
(mg/stick)</t>
        </is>
      </c>
      <c r="D58" s="62" t="inlineStr">
        <is>
          <t>Blend Ratio</t>
        </is>
      </c>
      <c r="E58" s="110" t="n"/>
      <c r="F58" s="110" t="n"/>
      <c r="G58" s="111" t="inlineStr">
        <is>
          <t>Price
(USD/KG)</t>
        </is>
      </c>
      <c r="H58" s="112" t="inlineStr">
        <is>
          <t>1,000 Sticks Price
(USD)</t>
        </is>
      </c>
      <c r="I58" s="113" t="n"/>
      <c r="J58" s="113" t="n"/>
      <c r="K58" s="114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1</v>
      </c>
      <c r="B59" s="42" t="inlineStr">
        <is>
          <t>Casing Rajangan</t>
        </is>
      </c>
      <c r="C59" s="115">
        <f>E22</f>
        <v/>
      </c>
      <c r="D59" s="116">
        <f>H31</f>
        <v/>
      </c>
      <c r="E59" s="117">
        <f>E23</f>
        <v/>
      </c>
      <c r="F59" s="110">
        <f>K31</f>
        <v/>
      </c>
      <c r="G59" s="118">
        <f>J31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66" t="n">
        <v>2</v>
      </c>
      <c r="B60" s="42" t="inlineStr">
        <is>
          <t>Casing Krosok</t>
        </is>
      </c>
      <c r="C60" s="115">
        <f>E35</f>
        <v/>
      </c>
      <c r="D60" s="116">
        <f>H44</f>
        <v/>
      </c>
      <c r="E60" s="117">
        <f>E36</f>
        <v/>
      </c>
      <c r="F60" s="110">
        <f>K44</f>
        <v/>
      </c>
      <c r="G60" s="118">
        <f>J44</f>
        <v/>
      </c>
      <c r="H60" s="119" t="n"/>
      <c r="I60" s="113" t="n"/>
      <c r="J60" s="113" t="n"/>
      <c r="K60" s="120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66" t="n">
        <v>3</v>
      </c>
      <c r="B61" s="42" t="inlineStr">
        <is>
          <t>Top Flavor</t>
        </is>
      </c>
      <c r="C61" s="115">
        <f>E48</f>
        <v/>
      </c>
      <c r="D61" s="116">
        <f>H56</f>
        <v/>
      </c>
      <c r="E61" s="117">
        <f>E49</f>
        <v/>
      </c>
      <c r="F61" s="110">
        <f>K56</f>
        <v/>
      </c>
      <c r="G61" s="118">
        <f>J56</f>
        <v/>
      </c>
      <c r="H61" s="119" t="n"/>
      <c r="I61" s="113" t="n"/>
      <c r="J61" s="113" t="n"/>
      <c r="K61" s="120" t="n"/>
      <c r="L61" s="110" t="n"/>
      <c r="M61" s="110" t="n"/>
      <c r="N61" s="110" t="n"/>
      <c r="O61" s="110" t="n"/>
      <c r="P61" s="110" t="n"/>
      <c r="Q61" s="38" t="n"/>
      <c r="R61" s="14" t="n"/>
    </row>
    <row r="62" ht="15" customHeight="1">
      <c r="A62" s="110" t="inlineStr">
        <is>
          <t>Total Price</t>
        </is>
      </c>
      <c r="B62" s="121" t="n"/>
      <c r="C62" s="110" t="n"/>
      <c r="D62" s="122" t="n"/>
      <c r="E62" s="110" t="n"/>
      <c r="F62" s="110" t="n"/>
      <c r="G62" s="123">
        <f>SUM(G59:G61)</f>
        <v/>
      </c>
      <c r="H62" s="124" t="inlineStr">
        <is>
          <t>USD/1,000 sticks</t>
        </is>
      </c>
      <c r="I62" s="113" t="n"/>
      <c r="J62" s="113" t="n"/>
      <c r="K62" s="114" t="n"/>
      <c r="L62" s="110" t="n"/>
      <c r="M62" s="110" t="n"/>
      <c r="N62" s="110" t="n"/>
      <c r="O62" s="110" t="n"/>
      <c r="P62" s="110" t="n"/>
      <c r="Q62" s="38" t="n"/>
      <c r="R62" s="14" t="n"/>
    </row>
    <row r="63" ht="15.75" customHeight="1">
      <c r="A63" s="110" t="n"/>
      <c r="B63" s="110" t="n"/>
      <c r="C63" s="110" t="n"/>
      <c r="D63" s="110" t="n"/>
      <c r="E63" s="110" t="n"/>
      <c r="F63" s="110" t="n"/>
      <c r="G63" s="125" t="n"/>
      <c r="H63" s="114" t="n"/>
      <c r="I63" s="126" t="n"/>
      <c r="J63" s="126" t="n"/>
      <c r="K63" s="114" t="n"/>
      <c r="L63" s="110" t="n"/>
      <c r="M63" s="110" t="n"/>
      <c r="N63" s="110" t="n"/>
      <c r="O63" s="110" t="n"/>
      <c r="P63" s="110" t="n"/>
      <c r="Q63" s="110" t="n"/>
      <c r="R63" s="14" t="n"/>
    </row>
    <row r="64" ht="15" customHeight="1">
      <c r="A64" s="110" t="n"/>
      <c r="B64" s="110" t="n"/>
      <c r="C64" s="110" t="n"/>
      <c r="D64" s="110" t="n"/>
      <c r="E64" s="110" t="n"/>
      <c r="F64" s="110" t="n"/>
      <c r="G64" s="125" t="n"/>
      <c r="H64" s="114" t="n"/>
      <c r="I64" s="126" t="n"/>
      <c r="J64" s="126" t="n"/>
      <c r="K64" s="114" t="n"/>
      <c r="L64" s="110" t="n"/>
      <c r="M64" s="110" t="n"/>
      <c r="N64" s="110" t="n"/>
      <c r="O64" s="110" t="n"/>
      <c r="P64" s="110" t="n"/>
      <c r="Q64" s="110" t="n"/>
      <c r="R64" s="14" t="n"/>
    </row>
    <row r="65" ht="15" customHeight="1">
      <c r="A65" s="127" t="inlineStr">
        <is>
          <t>Prepared By</t>
        </is>
      </c>
      <c r="B65" s="24" t="n"/>
      <c r="C65" s="24" t="n"/>
      <c r="D65" s="24" t="n"/>
      <c r="E65" s="24" t="n"/>
      <c r="F65" s="128" t="inlineStr">
        <is>
          <t>Reviewed By</t>
        </is>
      </c>
      <c r="G65" s="24" t="n"/>
      <c r="H65" s="24" t="n"/>
      <c r="I65" s="24" t="n"/>
      <c r="J65" s="24" t="n"/>
      <c r="K65" s="24" t="n"/>
      <c r="L65" s="25" t="n"/>
      <c r="M65" s="128" t="inlineStr">
        <is>
          <t>Appoved By</t>
        </is>
      </c>
      <c r="N65" s="24" t="n"/>
      <c r="O65" s="24" t="n"/>
      <c r="P65" s="24" t="n"/>
      <c r="Q65" s="25" t="n"/>
      <c r="R65" s="14" t="n"/>
    </row>
    <row r="66" ht="14.75" customHeight="1">
      <c r="A66" s="129" t="inlineStr">
        <is>
          <t>Position : Flavourist</t>
        </is>
      </c>
      <c r="B66" s="11" t="n"/>
      <c r="C66" s="11" t="n"/>
      <c r="D66" s="11" t="n"/>
      <c r="E66" s="9" t="n"/>
      <c r="F66" s="129" t="inlineStr">
        <is>
          <t>Position : Senior Manager - Flavourist</t>
        </is>
      </c>
      <c r="G66" s="11" t="n"/>
      <c r="H66" s="11" t="n"/>
      <c r="I66" s="11" t="n"/>
      <c r="J66" s="11" t="n"/>
      <c r="K66" s="11" t="n"/>
      <c r="L66" s="9" t="n"/>
      <c r="M66" s="129" t="inlineStr">
        <is>
          <t>Position : Head, Flavour PDI</t>
        </is>
      </c>
      <c r="N66" s="11" t="n"/>
      <c r="O66" s="11" t="n"/>
      <c r="P66" s="11" t="n"/>
      <c r="Q66" s="9" t="n"/>
      <c r="R66" s="14" t="n"/>
    </row>
    <row r="67" ht="15" customHeight="1">
      <c r="A67" s="130" t="inlineStr">
        <is>
          <t>Lyla Isro</t>
        </is>
      </c>
      <c r="B67" s="17" t="n"/>
      <c r="C67" s="17" t="n"/>
      <c r="D67" s="17" t="n"/>
      <c r="E67" s="16" t="n"/>
      <c r="F67" s="130" t="n"/>
      <c r="G67" s="17" t="n"/>
      <c r="H67" s="17" t="n"/>
      <c r="I67" s="17" t="n"/>
      <c r="J67" s="17" t="n"/>
      <c r="K67" s="17" t="n"/>
      <c r="L67" s="16" t="n"/>
      <c r="M67" s="130" t="n"/>
      <c r="N67" s="17" t="n"/>
      <c r="O67" s="17" t="n"/>
      <c r="P67" s="17" t="n"/>
      <c r="Q67" s="16" t="n"/>
      <c r="R67" s="14" t="n"/>
    </row>
    <row r="68" ht="14.5" customHeight="1">
      <c r="A68" s="131" t="n">
        <v>46210</v>
      </c>
      <c r="B68" s="21" t="n"/>
      <c r="C68" s="21" t="n"/>
      <c r="D68" s="21" t="n"/>
      <c r="E68" s="20" t="n"/>
      <c r="F68" s="132" t="n"/>
      <c r="G68" s="21" t="n"/>
      <c r="H68" s="21" t="n"/>
      <c r="I68" s="21" t="n"/>
      <c r="J68" s="21" t="n"/>
      <c r="K68" s="21" t="n"/>
      <c r="L68" s="20" t="n"/>
      <c r="M68" s="132" t="n"/>
      <c r="N68" s="21" t="n"/>
      <c r="O68" s="21" t="n"/>
      <c r="P68" s="21" t="n"/>
      <c r="Q68" s="20" t="n"/>
      <c r="R68" s="14" t="n"/>
    </row>
    <row r="69" ht="14.5" customHeight="1">
      <c r="A69" s="133" t="inlineStr">
        <is>
          <t xml:space="preserve">Signature : </t>
        </is>
      </c>
      <c r="B69" s="11" t="n"/>
      <c r="C69" s="11" t="n"/>
      <c r="D69" s="11" t="n"/>
      <c r="E69" s="134" t="n"/>
      <c r="F69" s="135" t="inlineStr">
        <is>
          <t>Signature:</t>
        </is>
      </c>
      <c r="G69" s="136" t="n"/>
      <c r="H69" s="95" t="n"/>
      <c r="I69" s="96" t="n"/>
      <c r="J69" s="137" t="n"/>
      <c r="K69" s="138" t="n"/>
      <c r="L69" s="139" t="n"/>
      <c r="M69" s="134" t="n"/>
      <c r="N69" s="134" t="n"/>
      <c r="O69" s="134" t="n"/>
      <c r="P69" s="134" t="n"/>
      <c r="Q69" s="139" t="n"/>
      <c r="R69" s="14" t="n"/>
    </row>
    <row r="70" ht="14.5" customHeight="1">
      <c r="A70" s="140" t="n"/>
      <c r="B70" s="121" t="n"/>
      <c r="C70" s="121" t="n"/>
      <c r="D70" s="121" t="n"/>
      <c r="E70" s="121" t="n"/>
      <c r="F70" s="140" t="n"/>
      <c r="G70" s="141" t="n"/>
      <c r="H70" s="142" t="n"/>
      <c r="I70" s="143" t="n"/>
      <c r="J70" s="143" t="n"/>
      <c r="K70" s="142" t="n"/>
      <c r="L70" s="144" t="n"/>
      <c r="M70" s="121" t="n"/>
      <c r="N70" s="121" t="n"/>
      <c r="O70" s="121" t="n"/>
      <c r="P70" s="121" t="n"/>
      <c r="Q70" s="144" t="n"/>
      <c r="R70" s="14" t="n"/>
    </row>
    <row r="71" ht="14.5" customHeight="1">
      <c r="A71" s="140" t="n"/>
      <c r="B71" s="121" t="n"/>
      <c r="C71" s="121" t="n"/>
      <c r="D71" s="121" t="n"/>
      <c r="E71" s="121" t="n"/>
      <c r="F71" s="140" t="n"/>
      <c r="G71" s="141" t="n"/>
      <c r="H71" s="142" t="n"/>
      <c r="I71" s="143" t="n"/>
      <c r="J71" s="143" t="n"/>
      <c r="K71" s="142" t="n"/>
      <c r="L71" s="144" t="n"/>
      <c r="M71" s="121" t="n"/>
      <c r="N71" s="121" t="n"/>
      <c r="O71" s="121" t="n"/>
      <c r="P71" s="121" t="n"/>
      <c r="Q71" s="144" t="n"/>
      <c r="R71" s="14" t="n"/>
    </row>
    <row r="72" ht="14.5" customHeight="1">
      <c r="A72" s="145" t="n"/>
      <c r="B72" s="146" t="n"/>
      <c r="C72" s="146" t="n"/>
      <c r="D72" s="146" t="n"/>
      <c r="E72" s="146" t="n"/>
      <c r="F72" s="145" t="n"/>
      <c r="G72" s="147" t="n"/>
      <c r="H72" s="148" t="n"/>
      <c r="I72" s="149" t="n"/>
      <c r="J72" s="149" t="n"/>
      <c r="K72" s="148" t="n"/>
      <c r="L72" s="150" t="n"/>
      <c r="M72" s="146" t="n"/>
      <c r="N72" s="146" t="n"/>
      <c r="O72" s="146" t="n"/>
      <c r="P72" s="146" t="n"/>
      <c r="Q72" s="150" t="n"/>
      <c r="R72" s="14" t="n"/>
    </row>
    <row r="73" ht="15" customHeight="1">
      <c r="A73" s="121" t="n"/>
      <c r="B73" s="121" t="n"/>
      <c r="C73" s="121" t="n"/>
      <c r="D73" s="121" t="n"/>
      <c r="E73" s="121" t="n"/>
      <c r="F73" s="121" t="n"/>
      <c r="G73" s="141" t="n"/>
      <c r="H73" s="142" t="n"/>
      <c r="I73" s="143" t="n"/>
      <c r="J73" s="143" t="n"/>
      <c r="K73" s="142" t="n"/>
      <c r="L73" s="121" t="n"/>
      <c r="M73" s="121" t="n"/>
      <c r="N73" s="121" t="n"/>
      <c r="O73" s="121" t="n"/>
      <c r="P73" s="121" t="n"/>
      <c r="Q73" s="121" t="n"/>
      <c r="R73" s="14" t="n"/>
    </row>
    <row r="74" ht="15" customHeight="1">
      <c r="A74" s="121" t="n"/>
      <c r="B74" s="121" t="n"/>
      <c r="C74" s="121" t="n"/>
      <c r="D74" s="121" t="n"/>
      <c r="E74" s="121" t="n"/>
      <c r="F74" s="121" t="n"/>
      <c r="G74" s="141" t="n"/>
      <c r="H74" s="142" t="n"/>
      <c r="I74" s="143" t="n"/>
      <c r="J74" s="143" t="n"/>
      <c r="K74" s="142" t="n"/>
      <c r="L74" s="121" t="n"/>
      <c r="M74" s="121" t="n"/>
      <c r="N74" s="121" t="n"/>
      <c r="O74" s="121" t="n"/>
      <c r="P74" s="121" t="n"/>
      <c r="Q74" s="121" t="n"/>
      <c r="R74" s="14" t="n"/>
    </row>
    <row r="75" ht="15" customHeight="1">
      <c r="A75" s="151" t="inlineStr">
        <is>
          <t>Casing Pre-Mix Formulation</t>
        </is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57" t="inlineStr">
        <is>
          <t>Casing Pre-Mix Formulation NAV Item Code</t>
        </is>
      </c>
      <c r="B76" s="36" t="n"/>
      <c r="C76" s="36" t="n"/>
      <c r="D76" s="37" t="n"/>
      <c r="E76" s="152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7" t="n"/>
      <c r="R76" s="14" t="n"/>
    </row>
    <row r="77" ht="14.5" customHeight="1">
      <c r="A77" s="57" t="inlineStr">
        <is>
          <t>Casing Pre-Mix Formulation NAV Item Description</t>
        </is>
      </c>
      <c r="B77" s="36" t="n"/>
      <c r="C77" s="36" t="n"/>
      <c r="D77" s="37" t="n"/>
      <c r="E77" s="152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7" t="n"/>
      <c r="R77" s="14" t="n"/>
    </row>
    <row r="78">
      <c r="A78" s="62" t="inlineStr">
        <is>
          <t>No</t>
        </is>
      </c>
      <c r="B78" s="62" t="inlineStr">
        <is>
          <t>Material NAV Item
Code</t>
        </is>
      </c>
      <c r="C78" s="62" t="inlineStr">
        <is>
          <t>Material Name</t>
        </is>
      </c>
      <c r="D78" s="25" t="n"/>
      <c r="E78" s="109" t="inlineStr">
        <is>
          <t>Physical State</t>
        </is>
      </c>
      <c r="F78" s="62" t="inlineStr">
        <is>
          <t>CAS Number</t>
        </is>
      </c>
      <c r="G78" s="153" t="inlineStr">
        <is>
          <t>Ratio
(%)</t>
        </is>
      </c>
      <c r="H78" s="64" t="inlineStr">
        <is>
          <t>Dosage
(mg/stick)</t>
        </is>
      </c>
      <c r="I78" s="65" t="inlineStr">
        <is>
          <t>Material
Price
(USD / KG)</t>
        </is>
      </c>
      <c r="J78" s="65" t="inlineStr">
        <is>
          <t>Formulation
Price 
(USD / KG)</t>
        </is>
      </c>
      <c r="K78" s="64" t="inlineStr">
        <is>
          <t>Dosage
(KG / MC)</t>
        </is>
      </c>
      <c r="L78" s="62" t="inlineStr">
        <is>
          <t>Density</t>
        </is>
      </c>
      <c r="M78" s="62" t="inlineStr">
        <is>
          <t>Addition
Sequence</t>
        </is>
      </c>
      <c r="N78" s="62" t="inlineStr">
        <is>
          <t>Temperature</t>
        </is>
      </c>
      <c r="O78" s="62" t="inlineStr">
        <is>
          <t>Agitation
Rate</t>
        </is>
      </c>
      <c r="P78" s="62" t="inlineStr">
        <is>
          <t>Mixing
Duration</t>
        </is>
      </c>
      <c r="Q78" s="62" t="inlineStr">
        <is>
          <t>Work Instruction</t>
        </is>
      </c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6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66" t="n"/>
      <c r="B87" s="66" t="n"/>
      <c r="C87" s="66" t="n"/>
      <c r="D87" s="66" t="n"/>
      <c r="E87" s="66" t="n"/>
      <c r="F87" s="66" t="n"/>
      <c r="G87" s="75" t="n"/>
      <c r="H87" s="69" t="n"/>
      <c r="I87" s="70" t="n"/>
      <c r="J87" s="70" t="n"/>
      <c r="K87" s="71" t="n"/>
      <c r="L87" s="76" t="n"/>
      <c r="M87" s="72" t="n"/>
      <c r="N87" s="73" t="n"/>
      <c r="O87" s="73" t="n"/>
      <c r="P87" s="73" t="n"/>
      <c r="Q87" s="73" t="n"/>
      <c r="R87" s="14" t="n"/>
    </row>
    <row r="88" ht="15" customHeight="1">
      <c r="A88" s="66" t="n"/>
      <c r="B88" s="66" t="n"/>
      <c r="C88" s="67" t="n"/>
      <c r="D88" s="25" t="n"/>
      <c r="E88" s="66" t="n"/>
      <c r="F88" s="66" t="n"/>
      <c r="G88" s="75" t="n"/>
      <c r="H88" s="69" t="n"/>
      <c r="I88" s="70" t="n"/>
      <c r="J88" s="70" t="n"/>
      <c r="K88" s="71" t="n"/>
      <c r="L88" s="76" t="n"/>
      <c r="M88" s="72" t="n"/>
      <c r="N88" s="73" t="n"/>
      <c r="O88" s="73" t="n"/>
      <c r="P88" s="73" t="n"/>
      <c r="Q88" s="73" t="n"/>
      <c r="R88" s="14" t="n"/>
    </row>
    <row r="89" ht="15" customHeight="1">
      <c r="A89" s="80" t="inlineStr">
        <is>
          <t>Total</t>
        </is>
      </c>
      <c r="B89" s="24" t="n"/>
      <c r="C89" s="24" t="n"/>
      <c r="D89" s="24" t="n"/>
      <c r="E89" s="24" t="n"/>
      <c r="F89" s="25" t="n"/>
      <c r="G89" s="154">
        <f>SUM(G79:G88)</f>
        <v/>
      </c>
      <c r="H89" s="155">
        <f>SUM(H79:H88)</f>
        <v/>
      </c>
      <c r="I89" s="156" t="n"/>
      <c r="J89" s="157">
        <f>SUM(J79:J88)</f>
        <v/>
      </c>
      <c r="K89" s="158">
        <f>SUM(K79:K88)</f>
        <v/>
      </c>
      <c r="L89" s="80" t="n"/>
      <c r="M89" s="159" t="n"/>
      <c r="N89" s="160" t="n"/>
      <c r="O89" s="160" t="n"/>
      <c r="P89" s="160" t="n"/>
      <c r="Q89" s="161" t="n"/>
      <c r="R89" s="14" t="n"/>
    </row>
    <row r="90" ht="15" customHeight="1">
      <c r="A90" s="110" t="n"/>
      <c r="B90" s="110" t="n"/>
      <c r="C90" s="110" t="n"/>
      <c r="D90" s="110" t="n"/>
      <c r="E90" s="110" t="n"/>
      <c r="F90" s="110" t="n"/>
      <c r="G90" s="125" t="n"/>
      <c r="H90" s="114" t="n"/>
      <c r="I90" s="126" t="n"/>
      <c r="J90" s="126" t="n"/>
      <c r="K90" s="114" t="n"/>
      <c r="L90" s="110" t="n"/>
      <c r="M90" s="110" t="n"/>
      <c r="N90" s="110" t="n"/>
      <c r="O90" s="110" t="n"/>
      <c r="P90" s="110" t="n"/>
      <c r="Q90" s="110" t="n"/>
      <c r="R90" s="14" t="n"/>
    </row>
    <row r="91" ht="15" customHeight="1">
      <c r="A91" s="151" t="inlineStr">
        <is>
          <t>Flavor Pre-Mix Formulation</t>
        </is>
      </c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57" t="inlineStr">
        <is>
          <t>Flavor Pre-Mix Formulation NAV Item Code</t>
        </is>
      </c>
      <c r="B92" s="36" t="n"/>
      <c r="C92" s="36" t="n"/>
      <c r="D92" s="37" t="n"/>
      <c r="E92" s="152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7" t="n"/>
      <c r="R92" s="14" t="n"/>
    </row>
    <row r="93" ht="14.5" customHeight="1">
      <c r="A93" s="57" t="inlineStr">
        <is>
          <t>Flavor Pre-Mix Formulation NAV Item Description</t>
        </is>
      </c>
      <c r="B93" s="36" t="n"/>
      <c r="C93" s="36" t="n"/>
      <c r="D93" s="37" t="n"/>
      <c r="E93" s="152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7" t="n"/>
      <c r="R93" s="14" t="n"/>
    </row>
    <row r="94" ht="14.5" customHeight="1">
      <c r="A94" s="62" t="inlineStr">
        <is>
          <t>No</t>
        </is>
      </c>
      <c r="B94" s="62" t="inlineStr">
        <is>
          <t>Material NAV Item
Code</t>
        </is>
      </c>
      <c r="C94" s="62" t="inlineStr">
        <is>
          <t>Material Name</t>
        </is>
      </c>
      <c r="D94" s="25" t="n"/>
      <c r="E94" s="109" t="inlineStr">
        <is>
          <t>Physical State</t>
        </is>
      </c>
      <c r="F94" s="62" t="inlineStr">
        <is>
          <t>CAS Number</t>
        </is>
      </c>
      <c r="G94" s="63" t="inlineStr">
        <is>
          <t>Ratio
(%)</t>
        </is>
      </c>
      <c r="H94" s="64" t="inlineStr">
        <is>
          <t>Dosage
(mg/stick)</t>
        </is>
      </c>
      <c r="I94" s="65" t="inlineStr">
        <is>
          <t>Material
Price
(USD / KG)</t>
        </is>
      </c>
      <c r="J94" s="65" t="inlineStr">
        <is>
          <t>Formulation
Price 
(USD / KG)</t>
        </is>
      </c>
      <c r="K94" s="64" t="inlineStr">
        <is>
          <t>Dosage
(KG / MC)</t>
        </is>
      </c>
      <c r="L94" s="62" t="inlineStr">
        <is>
          <t>Density</t>
        </is>
      </c>
      <c r="M94" s="62" t="inlineStr">
        <is>
          <t>Addition
Sequence</t>
        </is>
      </c>
      <c r="N94" s="62" t="inlineStr">
        <is>
          <t>Temperature</t>
        </is>
      </c>
      <c r="O94" s="36" t="n"/>
      <c r="P94" s="36" t="n"/>
      <c r="Q94" s="37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62" t="n"/>
      <c r="N95" s="62" t="n"/>
      <c r="O95" s="36" t="n"/>
      <c r="P95" s="36" t="n"/>
      <c r="Q95" s="37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4" t="n"/>
      <c r="J96" s="163" t="n"/>
      <c r="K96" s="71" t="n"/>
      <c r="L96" s="67" t="n"/>
      <c r="M96" s="62" t="n"/>
      <c r="N96" s="62" t="n"/>
      <c r="O96" s="36" t="n"/>
      <c r="P96" s="36" t="n"/>
      <c r="Q96" s="37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62" t="n"/>
      <c r="N97" s="62" t="n"/>
      <c r="O97" s="36" t="n"/>
      <c r="P97" s="36" t="n"/>
      <c r="Q97" s="37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62" t="n"/>
      <c r="N98" s="62" t="n"/>
      <c r="O98" s="36" t="n"/>
      <c r="P98" s="36" t="n"/>
      <c r="Q98" s="37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62" t="n"/>
      <c r="N99" s="62" t="n"/>
      <c r="O99" s="36" t="n"/>
      <c r="P99" s="36" t="n"/>
      <c r="Q99" s="37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166" t="n"/>
      <c r="O100" s="165" t="n"/>
      <c r="P100" s="165" t="n"/>
      <c r="Q100" s="166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166" t="n"/>
      <c r="O101" s="165" t="n"/>
      <c r="P101" s="165" t="n"/>
      <c r="Q101" s="166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166" t="n"/>
      <c r="O102" s="165" t="n"/>
      <c r="P102" s="165" t="n"/>
      <c r="Q102" s="166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166" t="n"/>
      <c r="O103" s="165" t="n"/>
      <c r="P103" s="165" t="n"/>
      <c r="Q103" s="166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166" t="n"/>
      <c r="O104" s="165" t="n"/>
      <c r="P104" s="165" t="n"/>
      <c r="Q104" s="166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166" t="n"/>
      <c r="O105" s="165" t="n"/>
      <c r="P105" s="165" t="n"/>
      <c r="Q105" s="166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166" t="n"/>
      <c r="O106" s="165" t="n"/>
      <c r="P106" s="165" t="n"/>
      <c r="Q106" s="166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166" t="n"/>
      <c r="O107" s="165" t="n"/>
      <c r="P107" s="165" t="n"/>
      <c r="Q107" s="166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166" t="n"/>
      <c r="O108" s="165" t="n"/>
      <c r="P108" s="165" t="n"/>
      <c r="Q108" s="166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166" t="n"/>
      <c r="O109" s="165" t="n"/>
      <c r="P109" s="165" t="n"/>
      <c r="Q109" s="166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166" t="n"/>
      <c r="O110" s="165" t="n"/>
      <c r="P110" s="165" t="n"/>
      <c r="Q110" s="166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166" t="n"/>
      <c r="O111" s="165" t="n"/>
      <c r="P111" s="165" t="n"/>
      <c r="Q111" s="166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166" t="n"/>
      <c r="O112" s="165" t="n"/>
      <c r="P112" s="165" t="n"/>
      <c r="Q112" s="166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166" t="n"/>
      <c r="O113" s="165" t="n"/>
      <c r="P113" s="165" t="n"/>
      <c r="Q113" s="166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166" t="n"/>
      <c r="O114" s="165" t="n"/>
      <c r="P114" s="165" t="n"/>
      <c r="Q114" s="166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166" t="n"/>
      <c r="O115" s="165" t="n"/>
      <c r="P115" s="165" t="n"/>
      <c r="Q115" s="166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166" t="n"/>
      <c r="O116" s="165" t="n"/>
      <c r="P116" s="165" t="n"/>
      <c r="Q116" s="166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166" t="n"/>
      <c r="O117" s="165" t="n"/>
      <c r="P117" s="165" t="n"/>
      <c r="Q117" s="166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166" t="n"/>
      <c r="O118" s="165" t="n"/>
      <c r="P118" s="165" t="n"/>
      <c r="Q118" s="166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166" t="n"/>
      <c r="O119" s="165" t="n"/>
      <c r="P119" s="165" t="n"/>
      <c r="Q119" s="166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166" t="n"/>
      <c r="O120" s="165" t="n"/>
      <c r="P120" s="165" t="n"/>
      <c r="Q120" s="166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166" t="n"/>
      <c r="O121" s="165" t="n"/>
      <c r="P121" s="165" t="n"/>
      <c r="Q121" s="166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166" t="n"/>
      <c r="O122" s="165" t="n"/>
      <c r="P122" s="165" t="n"/>
      <c r="Q122" s="166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166" t="n"/>
      <c r="O123" s="165" t="n"/>
      <c r="P123" s="165" t="n"/>
      <c r="Q123" s="166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166" t="n"/>
      <c r="O124" s="165" t="n"/>
      <c r="P124" s="165" t="n"/>
      <c r="Q124" s="166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166" t="n"/>
      <c r="O125" s="165" t="n"/>
      <c r="P125" s="165" t="n"/>
      <c r="Q125" s="166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166" t="n"/>
      <c r="O126" s="165" t="n"/>
      <c r="P126" s="165" t="n"/>
      <c r="Q126" s="166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166" t="n"/>
      <c r="O127" s="165" t="n"/>
      <c r="P127" s="165" t="n"/>
      <c r="Q127" s="166" t="n"/>
      <c r="R127" s="14" t="n"/>
    </row>
    <row r="128" ht="14.5" customHeight="1">
      <c r="A128" s="66" t="n"/>
      <c r="B128" s="66" t="n"/>
      <c r="C128" s="66" t="n"/>
      <c r="D128" s="66" t="n"/>
      <c r="E128" s="66" t="n"/>
      <c r="F128" s="66" t="n"/>
      <c r="G128" s="75" t="n"/>
      <c r="H128" s="69" t="n"/>
      <c r="I128" s="162" t="n"/>
      <c r="J128" s="163" t="n"/>
      <c r="K128" s="71" t="n"/>
      <c r="L128" s="67" t="n"/>
      <c r="M128" s="165" t="n"/>
      <c r="N128" s="165" t="n"/>
      <c r="O128" s="165" t="n"/>
      <c r="P128" s="166" t="n"/>
      <c r="Q128" s="166" t="n"/>
      <c r="R128" s="14" t="n"/>
    </row>
    <row r="129" ht="14.5" customHeight="1">
      <c r="A129" s="66" t="n"/>
      <c r="B129" s="66" t="n"/>
      <c r="C129" s="33" t="n"/>
      <c r="D129" s="32" t="n"/>
      <c r="E129" s="66" t="n"/>
      <c r="F129" s="66" t="n"/>
      <c r="G129" s="75" t="n"/>
      <c r="H129" s="69" t="n"/>
      <c r="I129" s="162" t="n"/>
      <c r="J129" s="163" t="n"/>
      <c r="K129" s="71" t="n"/>
      <c r="L129" s="67" t="n"/>
      <c r="M129" s="167" t="n"/>
      <c r="N129" s="167" t="n"/>
      <c r="O129" s="167" t="n"/>
      <c r="P129" s="168" t="n"/>
      <c r="Q129" s="168" t="n"/>
      <c r="R129" s="14" t="n"/>
    </row>
    <row r="130">
      <c r="A130" s="80" t="inlineStr">
        <is>
          <t>Total</t>
        </is>
      </c>
      <c r="B130" s="24" t="n"/>
      <c r="C130" s="24" t="n"/>
      <c r="D130" s="24" t="n"/>
      <c r="E130" s="24" t="n"/>
      <c r="F130" s="25" t="n"/>
      <c r="G130" s="154">
        <f>SUM(G95:G129)</f>
        <v/>
      </c>
      <c r="H130" s="155">
        <f>SUM(H95:H129)</f>
        <v/>
      </c>
      <c r="I130" s="156" t="n"/>
      <c r="J130" s="157">
        <f>SUM(J95:J129)</f>
        <v/>
      </c>
      <c r="K130" s="158">
        <f>SUM(K95:K129)</f>
        <v/>
      </c>
      <c r="L130" s="80" t="n"/>
      <c r="M130" s="159" t="n"/>
      <c r="N130" s="160" t="n"/>
      <c r="O130" s="160" t="n"/>
      <c r="P130" s="160" t="n"/>
      <c r="Q130" s="160" t="n"/>
      <c r="R130" s="14" t="n"/>
    </row>
    <row r="131">
      <c r="A131" s="38" t="n"/>
      <c r="B131" s="38" t="n"/>
      <c r="C131" s="38" t="n"/>
      <c r="D131" s="110" t="n"/>
      <c r="E131" s="110" t="n"/>
      <c r="F131" s="110" t="n"/>
      <c r="G131" s="125" t="n"/>
      <c r="H131" s="114" t="n"/>
      <c r="I131" s="126" t="n"/>
      <c r="J131" s="126" t="n"/>
      <c r="K131" s="114" t="n"/>
      <c r="L131" s="110" t="n"/>
      <c r="M131" s="110" t="n"/>
      <c r="N131" s="110" t="n"/>
      <c r="O131" s="110" t="n"/>
      <c r="P131" s="110" t="n"/>
      <c r="Q131" s="110" t="n"/>
      <c r="R131" s="14" t="n"/>
    </row>
    <row r="132" ht="15" customHeight="1">
      <c r="A132" s="151" t="inlineStr">
        <is>
          <t>Flavor Pre-Mix Formulation</t>
        </is>
      </c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57" t="inlineStr">
        <is>
          <t>Flavor Pre-Mix Formulation NAV Item Code</t>
        </is>
      </c>
      <c r="B133" s="36" t="n"/>
      <c r="C133" s="36" t="n"/>
      <c r="D133" s="37" t="n"/>
      <c r="E133" s="152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7" t="n"/>
      <c r="R133" s="14" t="n"/>
    </row>
    <row r="134">
      <c r="A134" s="57" t="inlineStr">
        <is>
          <t>Flavor Pre-Mix Formulation NAV Item Description</t>
        </is>
      </c>
      <c r="B134" s="36" t="n"/>
      <c r="C134" s="36" t="n"/>
      <c r="D134" s="37" t="n"/>
      <c r="E134" s="152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7" t="n"/>
      <c r="R134" s="14" t="n"/>
    </row>
    <row r="135">
      <c r="A135" s="62" t="inlineStr">
        <is>
          <t>No</t>
        </is>
      </c>
      <c r="B135" s="62" t="inlineStr">
        <is>
          <t>Material NAV Item
Code</t>
        </is>
      </c>
      <c r="C135" s="62" t="inlineStr">
        <is>
          <t>Material Name</t>
        </is>
      </c>
      <c r="D135" s="25" t="n"/>
      <c r="E135" s="109" t="inlineStr">
        <is>
          <t>Physical State</t>
        </is>
      </c>
      <c r="F135" s="62" t="inlineStr">
        <is>
          <t>CAS Number</t>
        </is>
      </c>
      <c r="G135" s="63" t="inlineStr">
        <is>
          <t>Ratio
(%)</t>
        </is>
      </c>
      <c r="H135" s="64" t="inlineStr">
        <is>
          <t>Dosage
(mg/stick)</t>
        </is>
      </c>
      <c r="I135" s="65" t="inlineStr">
        <is>
          <t>Material
Price
(USD / KG)</t>
        </is>
      </c>
      <c r="J135" s="65" t="inlineStr">
        <is>
          <t>Formulation
Price 
(USD / KG)</t>
        </is>
      </c>
      <c r="K135" s="64" t="inlineStr">
        <is>
          <t>Dosage
(KG / MC)</t>
        </is>
      </c>
      <c r="L135" s="62" t="inlineStr">
        <is>
          <t>Density</t>
        </is>
      </c>
      <c r="M135" s="36" t="n"/>
      <c r="N135" s="36" t="n"/>
      <c r="O135" s="36" t="n"/>
      <c r="P135" s="36" t="n"/>
      <c r="Q135" s="37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4" t="n"/>
      <c r="J136" s="163" t="n"/>
      <c r="K136" s="71" t="n"/>
      <c r="L136" s="66" t="n"/>
      <c r="M136" s="36" t="n"/>
      <c r="N136" s="36" t="n"/>
      <c r="O136" s="36" t="n"/>
      <c r="P136" s="36" t="n"/>
      <c r="Q136" s="37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36" t="n"/>
      <c r="N137" s="36" t="n"/>
      <c r="O137" s="36" t="n"/>
      <c r="P137" s="36" t="n"/>
      <c r="Q137" s="37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165" t="n"/>
      <c r="N138" s="165" t="n"/>
      <c r="O138" s="36" t="n"/>
      <c r="P138" s="36" t="n"/>
      <c r="Q138" s="37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165" t="n"/>
      <c r="N139" s="165" t="n"/>
      <c r="O139" s="36" t="n"/>
      <c r="P139" s="36" t="n"/>
      <c r="Q139" s="37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165" t="n"/>
      <c r="N140" s="165" t="n"/>
      <c r="O140" s="36" t="n"/>
      <c r="P140" s="36" t="n"/>
      <c r="Q140" s="37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165" t="n"/>
      <c r="N141" s="165" t="n"/>
      <c r="O141" s="36" t="n"/>
      <c r="P141" s="36" t="n"/>
      <c r="Q141" s="37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165" t="n"/>
      <c r="N142" s="165" t="n"/>
      <c r="O142" s="36" t="n"/>
      <c r="P142" s="36" t="n"/>
      <c r="Q142" s="37" t="n"/>
      <c r="R142" s="14" t="n"/>
    </row>
    <row r="143">
      <c r="A143" s="66" t="n"/>
      <c r="B143" s="66" t="n"/>
      <c r="C143" s="66" t="n"/>
      <c r="D143" s="66" t="n"/>
      <c r="E143" s="66" t="n"/>
      <c r="F143" s="66" t="n"/>
      <c r="G143" s="75" t="n"/>
      <c r="H143" s="69" t="n"/>
      <c r="I143" s="162" t="n"/>
      <c r="J143" s="163" t="n"/>
      <c r="K143" s="71" t="n"/>
      <c r="L143" s="76" t="n"/>
      <c r="M143" s="165" t="n"/>
      <c r="N143" s="165" t="n"/>
      <c r="O143" s="165" t="n"/>
      <c r="P143" s="165" t="n"/>
      <c r="Q143" s="165" t="n"/>
      <c r="R143" s="14" t="n"/>
    </row>
    <row r="144">
      <c r="A144" s="66" t="n"/>
      <c r="B144" s="66" t="n"/>
      <c r="C144" s="33" t="n"/>
      <c r="D144" s="32" t="n"/>
      <c r="E144" s="66" t="n"/>
      <c r="F144" s="66" t="n"/>
      <c r="G144" s="75" t="n"/>
      <c r="H144" s="69" t="n"/>
      <c r="I144" s="162" t="n"/>
      <c r="J144" s="163" t="n"/>
      <c r="K144" s="71" t="n"/>
      <c r="L144" s="76" t="n"/>
      <c r="M144" s="167" t="n"/>
      <c r="N144" s="167" t="n"/>
      <c r="O144" s="167" t="n"/>
      <c r="P144" s="167" t="n"/>
      <c r="Q144" s="167" t="n"/>
      <c r="R144" s="14" t="n"/>
    </row>
    <row r="145">
      <c r="A145" s="80" t="inlineStr">
        <is>
          <t>Total</t>
        </is>
      </c>
      <c r="B145" s="24" t="n"/>
      <c r="C145" s="24" t="n"/>
      <c r="D145" s="24" t="n"/>
      <c r="E145" s="24" t="n"/>
      <c r="F145" s="25" t="n"/>
      <c r="G145" s="154">
        <f>SUM(G136:G144)</f>
        <v/>
      </c>
      <c r="H145" s="169">
        <f>SUM(H136:H144)</f>
        <v/>
      </c>
      <c r="I145" s="156" t="n"/>
      <c r="J145" s="157">
        <f>SUM(J136:J144)</f>
        <v/>
      </c>
      <c r="K145" s="158">
        <f>SUM(K136:K144)</f>
        <v/>
      </c>
      <c r="L145" s="80" t="n"/>
      <c r="M145" s="159" t="n"/>
      <c r="N145" s="160" t="n"/>
      <c r="O145" s="160" t="n"/>
      <c r="P145" s="160" t="n"/>
      <c r="Q145" s="160" t="n"/>
      <c r="R145" s="14" t="n"/>
    </row>
  </sheetData>
  <mergeCells count="113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33:Q33"/>
    <mergeCell ref="A37:D37"/>
    <mergeCell ref="A17:Q17"/>
    <mergeCell ref="C38:D38"/>
    <mergeCell ref="C12:F12"/>
    <mergeCell ref="A21:D21"/>
    <mergeCell ref="A19:Q19"/>
    <mergeCell ref="A23:D23"/>
    <mergeCell ref="A9:Q9"/>
    <mergeCell ref="A64:E64"/>
    <mergeCell ref="C42:D42"/>
    <mergeCell ref="A11:Q11"/>
    <mergeCell ref="C26:D26"/>
    <mergeCell ref="A6:B6"/>
    <mergeCell ref="A67:D67"/>
    <mergeCell ref="A16:B16"/>
    <mergeCell ref="C25:D25"/>
    <mergeCell ref="C55:D5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70" t="inlineStr">
        <is>
          <t>Item Code</t>
        </is>
      </c>
      <c r="B1" s="170" t="inlineStr">
        <is>
          <t>SAAT</t>
        </is>
      </c>
      <c r="C1" s="170" t="inlineStr">
        <is>
          <t>BOL</t>
        </is>
      </c>
      <c r="D1" s="170" t="inlineStr">
        <is>
          <t>Jumlah *</t>
        </is>
      </c>
      <c r="E1" s="170" t="inlineStr">
        <is>
          <t>Item Name</t>
        </is>
      </c>
      <c r="F1" s="170" t="inlineStr">
        <is>
          <t>Chemical Name</t>
        </is>
      </c>
      <c r="G1" s="170" t="inlineStr">
        <is>
          <t>Price (USD)/KG</t>
        </is>
      </c>
      <c r="H1" s="170" t="inlineStr">
        <is>
          <t>CAS Number</t>
        </is>
      </c>
      <c r="I1" s="17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Top Flavor</t>
        </is>
      </c>
      <c r="B12" s="5" t="inlineStr">
        <is>
          <t>GEN-WA-00001</t>
        </is>
      </c>
      <c r="C12" s="5" t="inlineStr">
        <is>
          <t>WATER</t>
        </is>
      </c>
      <c r="D12" s="7" t="n">
        <v>4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Top Flavor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4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Top Flavor</t>
        </is>
      </c>
      <c r="B14" s="5" t="inlineStr">
        <is>
          <t>GEN-WA-00001</t>
        </is>
      </c>
      <c r="C14" s="5" t="inlineStr">
        <is>
          <t>WATER</t>
        </is>
      </c>
      <c r="D14" s="7" t="n">
        <v>4</v>
      </c>
      <c r="E14" s="5" t="n">
        <v>3</v>
      </c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Top Flavor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4</v>
      </c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2026-07-08T01:49:19Z</dcterms:created>
  <dcterms:modified xsi:type="dcterms:W3CDTF">2026-07-08T01:49:20Z</dcterms:modified>
</cp:coreProperties>
</file>