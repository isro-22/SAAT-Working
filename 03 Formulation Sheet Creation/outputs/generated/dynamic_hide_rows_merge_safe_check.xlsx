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8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2" fontId="8" fillId="12" borderId="2" applyAlignment="1" applyProtection="1" pivotButton="0" quotePrefix="0" xfId="3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center" vertical="center" wrapText="1"/>
      <protection locked="0" hidden="0"/>
    </xf>
    <xf numFmtId="0" fontId="0" fillId="12" borderId="4" pivotButton="0" quotePrefix="0" xfId="0"/>
    <xf numFmtId="0" fontId="0" fillId="12" borderId="5" pivotButton="0" quotePrefix="0" xfId="0"/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0" fillId="12" borderId="13" applyProtection="1" pivotButton="0" quotePrefix="0" xfId="0"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5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2026-07-07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Sample</t>
        </is>
      </c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Low</t>
        </is>
      </c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Spice</t>
        </is>
      </c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None</t>
        </is>
      </c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Mild</t>
        </is>
      </c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/>
      <c r="B26" s="66" t="n"/>
      <c r="C26" s="67" t="n"/>
      <c r="D26" s="25" t="n"/>
      <c r="E26" s="66" t="n"/>
      <c r="F26" s="66" t="n"/>
      <c r="G26" s="68" t="n"/>
      <c r="H26" s="69" t="n"/>
      <c r="I26" s="70" t="n"/>
      <c r="J26" s="70" t="n"/>
      <c r="K26" s="69" t="n"/>
      <c r="L26" s="66" t="n"/>
      <c r="M26" s="71" t="n"/>
      <c r="N26" s="72" t="n"/>
      <c r="O26" s="72" t="n"/>
      <c r="P26" s="72" t="n"/>
      <c r="Q26" s="72" t="n"/>
      <c r="R26" s="73" t="n"/>
    </row>
    <row r="27" ht="16" customHeight="1">
      <c r="A27" s="66" t="n"/>
      <c r="B27" s="66" t="n"/>
      <c r="C27" s="67" t="n"/>
      <c r="D27" s="25" t="n"/>
      <c r="E27" s="66" t="n"/>
      <c r="F27" s="66" t="n"/>
      <c r="G27" s="74" t="n"/>
      <c r="H27" s="69" t="n"/>
      <c r="I27" s="70" t="n"/>
      <c r="J27" s="70" t="n"/>
      <c r="K27" s="69" t="n"/>
      <c r="L27" s="75" t="n"/>
      <c r="M27" s="71" t="n"/>
      <c r="N27" s="72" t="n"/>
      <c r="O27" s="72" t="n"/>
      <c r="P27" s="72" t="n"/>
      <c r="Q27" s="72" t="n"/>
      <c r="R27" s="73" t="n"/>
    </row>
    <row r="28" ht="15" customHeight="1">
      <c r="A28" s="66" t="n"/>
      <c r="B28" s="66" t="n"/>
      <c r="C28" s="67" t="n"/>
      <c r="D28" s="25" t="n"/>
      <c r="E28" s="66" t="n"/>
      <c r="F28" s="66" t="n"/>
      <c r="G28" s="74" t="n"/>
      <c r="H28" s="69" t="n"/>
      <c r="I28" s="70" t="n"/>
      <c r="J28" s="70" t="n"/>
      <c r="K28" s="69" t="n"/>
      <c r="L28" s="75" t="n"/>
      <c r="M28" s="71" t="n"/>
      <c r="N28" s="72" t="n"/>
      <c r="O28" s="72" t="n"/>
      <c r="P28" s="72" t="n"/>
      <c r="Q28" s="72" t="n"/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69" t="n"/>
      <c r="I30" s="88" t="n"/>
      <c r="J30" s="89" t="n"/>
      <c r="K30" s="90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1" t="n"/>
      <c r="B31" s="24" t="n"/>
      <c r="C31" s="24" t="n"/>
      <c r="D31" s="24" t="n"/>
      <c r="E31" s="24" t="n"/>
      <c r="F31" s="25" t="n"/>
      <c r="G31" s="92" t="n"/>
      <c r="H31" s="93" t="n"/>
      <c r="I31" s="94" t="n"/>
      <c r="J31" s="95" t="n"/>
      <c r="K31" s="96" t="n"/>
      <c r="L31" s="97" t="n"/>
      <c r="M31" s="98" t="n"/>
      <c r="N31" s="98" t="n"/>
      <c r="O31" s="98" t="n"/>
      <c r="P31" s="98" t="n"/>
      <c r="Q31" s="99" t="n"/>
      <c r="R31" s="100" t="n"/>
    </row>
    <row r="32" ht="15" customHeight="1">
      <c r="A32" s="31" t="n"/>
      <c r="B32" s="31" t="n"/>
      <c r="C32" s="31" t="n"/>
      <c r="D32" s="31" t="n"/>
      <c r="E32" s="31" t="n"/>
      <c r="F32" s="31" t="n"/>
      <c r="G32" s="101" t="n"/>
      <c r="H32" s="102" t="n"/>
      <c r="I32" s="103" t="n"/>
      <c r="J32" s="103" t="n"/>
      <c r="K32" s="102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69" t="n"/>
      <c r="L39" s="66" t="n"/>
      <c r="M39" s="71" t="n"/>
      <c r="N39" s="72" t="n"/>
      <c r="O39" s="72" t="n"/>
      <c r="P39" s="72" t="n"/>
      <c r="Q39" s="72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4" t="n"/>
      <c r="H40" s="69" t="n"/>
      <c r="I40" s="70" t="n"/>
      <c r="J40" s="70" t="n"/>
      <c r="K40" s="69" t="n"/>
      <c r="L40" s="75" t="n"/>
      <c r="M40" s="71" t="n"/>
      <c r="N40" s="72" t="n"/>
      <c r="O40" s="72" t="n"/>
      <c r="P40" s="72" t="n"/>
      <c r="Q40" s="72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4" t="n"/>
      <c r="H41" s="69" t="n"/>
      <c r="I41" s="70" t="n"/>
      <c r="J41" s="70" t="n"/>
      <c r="K41" s="69" t="n"/>
      <c r="L41" s="75" t="n"/>
      <c r="M41" s="71" t="n"/>
      <c r="N41" s="72" t="n"/>
      <c r="O41" s="72" t="n"/>
      <c r="P41" s="72" t="n"/>
      <c r="Q41" s="72" t="n"/>
      <c r="R41" s="14" t="n"/>
    </row>
    <row r="42" ht="15" customHeight="1">
      <c r="A42" s="76" t="inlineStr">
        <is>
          <t>Total</t>
        </is>
      </c>
      <c r="B42" s="76" t="n"/>
      <c r="C42" s="77" t="n"/>
      <c r="D42" s="78" t="n"/>
      <c r="E42" s="76" t="n"/>
      <c r="F42" s="76" t="n"/>
      <c r="G42" s="79">
        <f>SUM(G39:G41)</f>
        <v/>
      </c>
      <c r="H42" s="80">
        <f>SUM(H39:H41)</f>
        <v/>
      </c>
      <c r="I42" s="81" t="n"/>
      <c r="J42" s="82">
        <f>SUM(J39:J41)</f>
        <v/>
      </c>
      <c r="K42" s="80">
        <f>SUM(K39:K41)</f>
        <v/>
      </c>
      <c r="L42" s="83" t="n"/>
      <c r="M42" s="84" t="n"/>
      <c r="N42" s="85" t="n"/>
      <c r="O42" s="85" t="n"/>
      <c r="P42" s="85" t="n"/>
      <c r="Q42" s="85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69" t="n"/>
      <c r="I43" s="88" t="n"/>
      <c r="J43" s="89" t="n"/>
      <c r="K43" s="90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1" t="n"/>
      <c r="B44" s="24" t="n"/>
      <c r="C44" s="24" t="n"/>
      <c r="D44" s="24" t="n"/>
      <c r="E44" s="24" t="n"/>
      <c r="F44" s="25" t="n"/>
      <c r="G44" s="92" t="n"/>
      <c r="H44" s="93" t="n"/>
      <c r="I44" s="94" t="n"/>
      <c r="J44" s="95" t="n"/>
      <c r="K44" s="96" t="n"/>
      <c r="L44" s="97" t="n"/>
      <c r="M44" s="98" t="n"/>
      <c r="N44" s="98" t="n"/>
      <c r="O44" s="98" t="n"/>
      <c r="P44" s="98" t="n"/>
      <c r="Q44" s="98" t="n"/>
      <c r="R44" s="14" t="n"/>
    </row>
    <row r="45" ht="15" customHeight="1">
      <c r="A45" s="38" t="n"/>
      <c r="B45" s="38" t="n"/>
      <c r="C45" s="104" t="n"/>
      <c r="D45" s="104" t="n"/>
      <c r="E45" s="104" t="n"/>
      <c r="F45" s="104" t="n"/>
      <c r="G45" s="105" t="n"/>
      <c r="H45" s="106" t="n"/>
      <c r="I45" s="107" t="n"/>
      <c r="J45" s="107" t="n"/>
      <c r="K45" s="106" t="n"/>
      <c r="L45" s="104" t="n"/>
      <c r="M45" s="104" t="n"/>
      <c r="N45" s="104" t="n"/>
      <c r="O45" s="104" t="n"/>
      <c r="P45" s="104" t="n"/>
      <c r="Q45" s="104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8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09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0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0.2857142857142857</v>
      </c>
      <c r="H52" s="111" t="n">
        <v>4</v>
      </c>
      <c r="I52" s="70" t="n">
        <v>0</v>
      </c>
      <c r="J52" s="70" t="n">
        <v>0</v>
      </c>
      <c r="K52" s="69" t="n">
        <v>0.04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86" t="inlineStr">
        <is>
          <t>GEN-CHM-00015</t>
        </is>
      </c>
      <c r="C53" s="67" t="inlineStr">
        <is>
          <t>INVERT SUGAR</t>
        </is>
      </c>
      <c r="D53" s="25" t="n"/>
      <c r="E53" s="66" t="inlineStr">
        <is>
          <t>Liquid</t>
        </is>
      </c>
      <c r="F53" s="66" t="inlineStr">
        <is>
          <t>8013-17-0</t>
        </is>
      </c>
      <c r="G53" s="68" t="n">
        <v>0.2857142857142857</v>
      </c>
      <c r="H53" s="111" t="n">
        <v>4</v>
      </c>
      <c r="I53" s="70" t="n">
        <v>0.7205767050561798</v>
      </c>
      <c r="J53" s="70" t="n">
        <v>0.2058790585874799</v>
      </c>
      <c r="K53" s="69" t="n">
        <v>0.04</v>
      </c>
      <c r="L53" s="75" t="n"/>
      <c r="M53" s="66" t="n">
        <v>2</v>
      </c>
      <c r="N53" s="66" t="n"/>
      <c r="O53" s="66" t="n"/>
      <c r="P53" s="66" t="n"/>
      <c r="Q53" s="66" t="inlineStr">
        <is>
          <t>Add material in sequence 2. Mix until uniform.</t>
        </is>
      </c>
      <c r="R53" s="14" t="n"/>
    </row>
    <row r="54" ht="14.5" customHeight="1">
      <c r="A54" s="66" t="n">
        <v>3</v>
      </c>
      <c r="B54" s="66" t="inlineStr">
        <is>
          <t>GEN-WA-00001</t>
        </is>
      </c>
      <c r="C54" s="66" t="inlineStr">
        <is>
          <t>WATER</t>
        </is>
      </c>
      <c r="D54" s="66" t="n"/>
      <c r="E54" s="66" t="n">
        <v/>
      </c>
      <c r="F54" s="66" t="n">
        <v/>
      </c>
      <c r="G54" s="68" t="n">
        <v>0.2857142857142857</v>
      </c>
      <c r="H54" s="111" t="n">
        <v>4</v>
      </c>
      <c r="I54" s="70" t="n">
        <v>0</v>
      </c>
      <c r="J54" s="70" t="n">
        <v>0</v>
      </c>
      <c r="K54" s="69" t="n">
        <v>0.04</v>
      </c>
      <c r="L54" s="75" t="n"/>
      <c r="M54" s="66" t="n">
        <v>3</v>
      </c>
      <c r="N54" s="66" t="n"/>
      <c r="O54" s="66" t="n"/>
      <c r="P54" s="66" t="n"/>
      <c r="Q54" s="66" t="inlineStr">
        <is>
          <t>Add material in sequence 3. Mix until uniform.</t>
        </is>
      </c>
      <c r="R54" s="14" t="n"/>
    </row>
    <row r="55" ht="14.5" customHeight="1">
      <c r="A55" s="66" t="n">
        <v>4</v>
      </c>
      <c r="B55" s="86" t="inlineStr">
        <is>
          <t>GEN-CHM-00015</t>
        </is>
      </c>
      <c r="C55" s="67" t="inlineStr">
        <is>
          <t>INVERT SUGAR</t>
        </is>
      </c>
      <c r="D55" s="25" t="n"/>
      <c r="E55" s="66" t="inlineStr">
        <is>
          <t>Liquid</t>
        </is>
      </c>
      <c r="F55" s="66" t="inlineStr">
        <is>
          <t>8013-17-0</t>
        </is>
      </c>
      <c r="G55" s="68" t="n">
        <v>0.1428571428571428</v>
      </c>
      <c r="H55" s="111" t="n">
        <v>2</v>
      </c>
      <c r="I55" s="70" t="n">
        <v>0.7205767050561798</v>
      </c>
      <c r="J55" s="70" t="n">
        <v>0.10293952929374</v>
      </c>
      <c r="K55" s="69" t="n">
        <v>0.02</v>
      </c>
      <c r="L55" s="75" t="n"/>
      <c r="M55" s="66" t="n">
        <v>4</v>
      </c>
      <c r="N55" s="66" t="n"/>
      <c r="O55" s="66" t="n"/>
      <c r="P55" s="66" t="n"/>
      <c r="Q55" s="66" t="inlineStr">
        <is>
          <t>Add material in sequence 4. Mix until uniform.</t>
        </is>
      </c>
      <c r="R55" s="14" t="n"/>
    </row>
    <row r="56" ht="48" customHeight="1">
      <c r="A56" s="112" t="inlineStr">
        <is>
          <t>Total</t>
        </is>
      </c>
      <c r="B56" s="113" t="n"/>
      <c r="C56" s="113" t="n"/>
      <c r="D56" s="113" t="n"/>
      <c r="E56" s="113" t="n"/>
      <c r="F56" s="78" t="n"/>
      <c r="G56" s="114">
        <f>SUM(G52:G55)</f>
        <v/>
      </c>
      <c r="H56" s="80">
        <f>SUM(H52:H55)</f>
        <v/>
      </c>
      <c r="I56" s="115" t="n"/>
      <c r="J56" s="82">
        <f>SUM(J52:J55)</f>
        <v/>
      </c>
      <c r="K56" s="116">
        <f>SUM(K52:K55)</f>
        <v/>
      </c>
      <c r="L56" s="117" t="n"/>
      <c r="M56" s="76" t="n"/>
      <c r="N56" s="76" t="n"/>
      <c r="O56" s="76" t="n"/>
      <c r="P56" s="76" t="n"/>
      <c r="Q56" s="76" t="n"/>
      <c r="R56" s="14" t="n"/>
    </row>
    <row r="57" ht="33" customHeight="1">
      <c r="A57" s="118" t="n"/>
      <c r="B57" s="119" t="n"/>
      <c r="C57" s="119" t="n"/>
      <c r="D57" s="119" t="n"/>
      <c r="E57" s="119" t="n"/>
      <c r="F57" s="119" t="n"/>
      <c r="G57" s="120" t="n"/>
      <c r="H57" s="121" t="n"/>
      <c r="I57" s="122" t="n"/>
      <c r="J57" s="122" t="n"/>
      <c r="K57" s="121" t="n"/>
      <c r="L57" s="119" t="n"/>
      <c r="M57" s="119" t="n"/>
      <c r="N57" s="119" t="n"/>
      <c r="O57" s="119" t="n"/>
      <c r="P57" s="119" t="n"/>
      <c r="Q57" s="119" t="n"/>
      <c r="R57" s="14" t="n"/>
    </row>
    <row r="58" ht="36.75" customHeight="1">
      <c r="A58" s="123" t="inlineStr">
        <is>
          <t>No</t>
        </is>
      </c>
      <c r="B58" s="123" t="inlineStr">
        <is>
          <t>Casing &amp; Top Flavor
NAV Item Code</t>
        </is>
      </c>
      <c r="C58" s="123" t="inlineStr">
        <is>
          <t>Application Amount
(mg/stick)</t>
        </is>
      </c>
      <c r="D58" s="123" t="inlineStr">
        <is>
          <t>Blend Ratio</t>
        </is>
      </c>
      <c r="E58" s="124" t="n"/>
      <c r="F58" s="124" t="n"/>
      <c r="G58" s="125" t="inlineStr">
        <is>
          <t>Price
(USD/KG)</t>
        </is>
      </c>
      <c r="H58" s="125" t="inlineStr">
        <is>
          <t>1,000 Sticks Price
(USD)</t>
        </is>
      </c>
      <c r="I58" s="126" t="n"/>
      <c r="J58" s="126" t="n"/>
      <c r="K58" s="127" t="n"/>
      <c r="L58" s="124" t="n"/>
      <c r="M58" s="124" t="n"/>
      <c r="N58" s="124" t="n"/>
      <c r="O58" s="124" t="n"/>
      <c r="P58" s="124" t="n"/>
      <c r="Q58" s="38" t="n"/>
      <c r="R58" s="14" t="n"/>
    </row>
    <row r="59" ht="28.25" customHeight="1">
      <c r="A59" s="128" t="n">
        <v>1</v>
      </c>
      <c r="B59" s="129">
        <f>E22</f>
        <v/>
      </c>
      <c r="C59" s="130">
        <f>H29</f>
        <v/>
      </c>
      <c r="D59" s="131">
        <f>E23</f>
        <v/>
      </c>
      <c r="E59" s="132" t="n"/>
      <c r="F59" s="124" t="n"/>
      <c r="G59" s="133">
        <f>J29</f>
        <v/>
      </c>
      <c r="H59" s="133">
        <f>G59*(C59/1000000)*1000</f>
        <v/>
      </c>
      <c r="I59" s="126" t="n"/>
      <c r="J59" s="126" t="n"/>
      <c r="K59" s="134" t="n"/>
      <c r="L59" s="124" t="n"/>
      <c r="M59" s="124" t="n"/>
      <c r="N59" s="124" t="n"/>
      <c r="O59" s="124" t="n"/>
      <c r="P59" s="124" t="n"/>
      <c r="Q59" s="38" t="n"/>
      <c r="R59" s="14" t="n"/>
    </row>
    <row r="60" ht="28.25" customHeight="1">
      <c r="A60" s="128" t="n">
        <v>2</v>
      </c>
      <c r="B60" s="129">
        <f>E35</f>
        <v/>
      </c>
      <c r="C60" s="130">
        <f>H42</f>
        <v/>
      </c>
      <c r="D60" s="131">
        <f>E36</f>
        <v/>
      </c>
      <c r="E60" s="132" t="n"/>
      <c r="F60" s="124" t="n"/>
      <c r="G60" s="133">
        <f>J42</f>
        <v/>
      </c>
      <c r="H60" s="133">
        <f>G60*(C60/1000000)*1000</f>
        <v/>
      </c>
      <c r="I60" s="126" t="n"/>
      <c r="J60" s="126" t="n"/>
      <c r="K60" s="134" t="n"/>
      <c r="L60" s="124" t="n"/>
      <c r="M60" s="124" t="n"/>
      <c r="N60" s="124" t="n"/>
      <c r="O60" s="124" t="n"/>
      <c r="P60" s="124" t="n"/>
      <c r="Q60" s="38" t="n"/>
      <c r="R60" s="14" t="n"/>
    </row>
    <row r="61" ht="15" customHeight="1">
      <c r="A61" s="128" t="n">
        <v>3</v>
      </c>
      <c r="B61" s="129">
        <f>E48</f>
        <v/>
      </c>
      <c r="C61" s="130">
        <f>H56</f>
        <v/>
      </c>
      <c r="D61" s="131">
        <f>E49</f>
        <v/>
      </c>
      <c r="E61" s="132" t="n"/>
      <c r="F61" s="124" t="n"/>
      <c r="G61" s="133">
        <f>J56</f>
        <v/>
      </c>
      <c r="H61" s="133">
        <f>G61*(C61/1000000)*1000</f>
        <v/>
      </c>
      <c r="I61" s="126" t="n"/>
      <c r="J61" s="126" t="n"/>
      <c r="K61" s="134" t="n"/>
      <c r="L61" s="124" t="n"/>
      <c r="M61" s="124" t="n"/>
      <c r="N61" s="124" t="n"/>
      <c r="O61" s="124" t="n"/>
      <c r="P61" s="124" t="n"/>
      <c r="Q61" s="38" t="n"/>
      <c r="R61" s="14" t="n"/>
    </row>
    <row r="62" ht="15" customHeight="1">
      <c r="A62" s="124" t="n"/>
      <c r="B62" s="135" t="n"/>
      <c r="C62" s="124" t="n"/>
      <c r="D62" s="136" t="n"/>
      <c r="E62" s="124" t="n"/>
      <c r="F62" s="124" t="n"/>
      <c r="G62" s="137" t="inlineStr">
        <is>
          <t>Total Price
(USD/1,000 Sticks)</t>
        </is>
      </c>
      <c r="H62" s="138">
        <f>SUM(H59:H61)</f>
        <v/>
      </c>
      <c r="I62" s="126" t="n"/>
      <c r="J62" s="126" t="n"/>
      <c r="K62" s="127" t="n"/>
      <c r="L62" s="124" t="n"/>
      <c r="M62" s="124" t="n"/>
      <c r="N62" s="124" t="n"/>
      <c r="O62" s="124" t="n"/>
      <c r="P62" s="124" t="n"/>
      <c r="Q62" s="38" t="n"/>
      <c r="R62" s="14" t="n"/>
    </row>
    <row r="63" ht="15.75" customHeight="1">
      <c r="A63" s="124" t="n"/>
      <c r="B63" s="124" t="n"/>
      <c r="C63" s="124" t="n"/>
      <c r="D63" s="124" t="n"/>
      <c r="E63" s="124" t="n"/>
      <c r="F63" s="124" t="n"/>
      <c r="G63" s="139" t="n"/>
      <c r="H63" s="127" t="n"/>
      <c r="I63" s="140" t="n"/>
      <c r="J63" s="140" t="n"/>
      <c r="K63" s="127" t="n"/>
      <c r="L63" s="124" t="n"/>
      <c r="M63" s="124" t="n"/>
      <c r="N63" s="124" t="n"/>
      <c r="O63" s="124" t="n"/>
      <c r="P63" s="124" t="n"/>
      <c r="Q63" s="124" t="n"/>
      <c r="R63" s="14" t="n"/>
    </row>
    <row r="64" ht="15" customHeight="1">
      <c r="A64" s="124" t="n"/>
      <c r="B64" s="124" t="n"/>
      <c r="C64" s="124" t="n"/>
      <c r="D64" s="124" t="n"/>
      <c r="E64" s="124" t="n"/>
      <c r="F64" s="124" t="n"/>
      <c r="G64" s="139" t="n"/>
      <c r="H64" s="127" t="n"/>
      <c r="I64" s="140" t="n"/>
      <c r="J64" s="140" t="n"/>
      <c r="K64" s="127" t="n"/>
      <c r="L64" s="124" t="n"/>
      <c r="M64" s="124" t="n"/>
      <c r="N64" s="124" t="n"/>
      <c r="O64" s="124" t="n"/>
      <c r="P64" s="124" t="n"/>
      <c r="Q64" s="124" t="n"/>
      <c r="R64" s="14" t="n"/>
    </row>
    <row r="65" ht="15" customHeight="1">
      <c r="A65" s="141" t="inlineStr">
        <is>
          <t>Prepared By</t>
        </is>
      </c>
      <c r="B65" s="24" t="n"/>
      <c r="C65" s="24" t="n"/>
      <c r="D65" s="24" t="n"/>
      <c r="E65" s="24" t="n"/>
      <c r="F65" s="142" t="inlineStr">
        <is>
          <t>Reviewed By</t>
        </is>
      </c>
      <c r="G65" s="24" t="n"/>
      <c r="H65" s="24" t="n"/>
      <c r="I65" s="24" t="n"/>
      <c r="J65" s="24" t="n"/>
      <c r="K65" s="24" t="n"/>
      <c r="L65" s="25" t="n"/>
      <c r="M65" s="142" t="inlineStr">
        <is>
          <t>Appoved By</t>
        </is>
      </c>
      <c r="N65" s="24" t="n"/>
      <c r="O65" s="24" t="n"/>
      <c r="P65" s="24" t="n"/>
      <c r="Q65" s="25" t="n"/>
      <c r="R65" s="14" t="n"/>
    </row>
    <row r="66" ht="14.75" customHeight="1">
      <c r="A66" s="143" t="inlineStr">
        <is>
          <t>Position : Flavourist</t>
        </is>
      </c>
      <c r="B66" s="11" t="n"/>
      <c r="C66" s="11" t="n"/>
      <c r="D66" s="11" t="n"/>
      <c r="E66" s="9" t="n"/>
      <c r="F66" s="143" t="inlineStr">
        <is>
          <t>Position : Senior Manager - Flavourist</t>
        </is>
      </c>
      <c r="G66" s="11" t="n"/>
      <c r="H66" s="11" t="n"/>
      <c r="I66" s="11" t="n"/>
      <c r="J66" s="11" t="n"/>
      <c r="K66" s="11" t="n"/>
      <c r="L66" s="9" t="n"/>
      <c r="M66" s="143" t="inlineStr">
        <is>
          <t>Position : Head, Flavour PDI</t>
        </is>
      </c>
      <c r="N66" s="11" t="n"/>
      <c r="O66" s="11" t="n"/>
      <c r="P66" s="11" t="n"/>
      <c r="Q66" s="9" t="n"/>
      <c r="R66" s="14" t="n"/>
    </row>
    <row r="67" ht="15" customHeight="1">
      <c r="A67" s="144" t="inlineStr">
        <is>
          <t>Lyla Isro</t>
        </is>
      </c>
      <c r="B67" s="17" t="n"/>
      <c r="C67" s="17" t="n"/>
      <c r="D67" s="17" t="n"/>
      <c r="E67" s="16" t="n"/>
      <c r="F67" s="144" t="n"/>
      <c r="G67" s="17" t="n"/>
      <c r="H67" s="17" t="n"/>
      <c r="I67" s="17" t="n"/>
      <c r="J67" s="17" t="n"/>
      <c r="K67" s="17" t="n"/>
      <c r="L67" s="16" t="n"/>
      <c r="M67" s="144" t="n"/>
      <c r="N67" s="17" t="n"/>
      <c r="O67" s="17" t="n"/>
      <c r="P67" s="17" t="n"/>
      <c r="Q67" s="16" t="n"/>
      <c r="R67" s="14" t="n"/>
    </row>
    <row r="68" ht="14.5" customHeight="1">
      <c r="A68" s="145" t="n">
        <v>46210</v>
      </c>
      <c r="B68" s="21" t="n"/>
      <c r="C68" s="21" t="n"/>
      <c r="D68" s="21" t="n"/>
      <c r="E68" s="20" t="n"/>
      <c r="F68" s="146" t="n"/>
      <c r="G68" s="21" t="n"/>
      <c r="H68" s="21" t="n"/>
      <c r="I68" s="21" t="n"/>
      <c r="J68" s="21" t="n"/>
      <c r="K68" s="21" t="n"/>
      <c r="L68" s="20" t="n"/>
      <c r="M68" s="146" t="n"/>
      <c r="N68" s="21" t="n"/>
      <c r="O68" s="21" t="n"/>
      <c r="P68" s="21" t="n"/>
      <c r="Q68" s="20" t="n"/>
      <c r="R68" s="14" t="n"/>
    </row>
    <row r="69" ht="14.5" customHeight="1">
      <c r="A69" s="147" t="inlineStr">
        <is>
          <t xml:space="preserve">Signature : </t>
        </is>
      </c>
      <c r="B69" s="11" t="n"/>
      <c r="C69" s="11" t="n"/>
      <c r="D69" s="11" t="n"/>
      <c r="E69" s="148" t="n"/>
      <c r="F69" s="149" t="inlineStr">
        <is>
          <t>Signature:</t>
        </is>
      </c>
      <c r="G69" s="150" t="n"/>
      <c r="H69" s="106" t="n"/>
      <c r="I69" s="107" t="n"/>
      <c r="J69" s="151" t="n"/>
      <c r="K69" s="152" t="n"/>
      <c r="L69" s="153" t="n"/>
      <c r="M69" s="148" t="n"/>
      <c r="N69" s="148" t="n"/>
      <c r="O69" s="148" t="n"/>
      <c r="P69" s="148" t="n"/>
      <c r="Q69" s="153" t="n"/>
      <c r="R69" s="14" t="n"/>
    </row>
    <row r="70" ht="14.5" customHeight="1">
      <c r="A70" s="154" t="n"/>
      <c r="B70" s="135" t="n"/>
      <c r="C70" s="135" t="n"/>
      <c r="D70" s="135" t="n"/>
      <c r="E70" s="135" t="n"/>
      <c r="F70" s="154" t="n"/>
      <c r="G70" s="155" t="n"/>
      <c r="H70" s="156" t="n"/>
      <c r="I70" s="157" t="n"/>
      <c r="J70" s="157" t="n"/>
      <c r="K70" s="156" t="n"/>
      <c r="L70" s="158" t="n"/>
      <c r="M70" s="135" t="n"/>
      <c r="N70" s="135" t="n"/>
      <c r="O70" s="135" t="n"/>
      <c r="P70" s="135" t="n"/>
      <c r="Q70" s="158" t="n"/>
      <c r="R70" s="14" t="n"/>
    </row>
    <row r="71" ht="14.5" customHeight="1">
      <c r="A71" s="154" t="n"/>
      <c r="B71" s="135" t="n"/>
      <c r="C71" s="135" t="n"/>
      <c r="D71" s="135" t="n"/>
      <c r="E71" s="135" t="n"/>
      <c r="F71" s="154" t="n"/>
      <c r="G71" s="155" t="n"/>
      <c r="H71" s="156" t="n"/>
      <c r="I71" s="157" t="n"/>
      <c r="J71" s="157" t="n"/>
      <c r="K71" s="156" t="n"/>
      <c r="L71" s="158" t="n"/>
      <c r="M71" s="135" t="n"/>
      <c r="N71" s="135" t="n"/>
      <c r="O71" s="135" t="n"/>
      <c r="P71" s="135" t="n"/>
      <c r="Q71" s="158" t="n"/>
      <c r="R71" s="14" t="n"/>
    </row>
    <row r="72" ht="14.5" customHeight="1">
      <c r="A72" s="159" t="n"/>
      <c r="B72" s="160" t="n"/>
      <c r="C72" s="160" t="n"/>
      <c r="D72" s="160" t="n"/>
      <c r="E72" s="160" t="n"/>
      <c r="F72" s="159" t="n"/>
      <c r="G72" s="161" t="n"/>
      <c r="H72" s="162" t="n"/>
      <c r="I72" s="163" t="n"/>
      <c r="J72" s="163" t="n"/>
      <c r="K72" s="162" t="n"/>
      <c r="L72" s="164" t="n"/>
      <c r="M72" s="160" t="n"/>
      <c r="N72" s="160" t="n"/>
      <c r="O72" s="160" t="n"/>
      <c r="P72" s="160" t="n"/>
      <c r="Q72" s="164" t="n"/>
      <c r="R72" s="14" t="n"/>
    </row>
    <row r="73" ht="15" customHeight="1">
      <c r="A73" s="135" t="n"/>
      <c r="B73" s="135" t="n"/>
      <c r="C73" s="135" t="n"/>
      <c r="D73" s="135" t="n"/>
      <c r="E73" s="135" t="n"/>
      <c r="F73" s="135" t="n"/>
      <c r="G73" s="155" t="n"/>
      <c r="H73" s="156" t="n"/>
      <c r="I73" s="157" t="n"/>
      <c r="J73" s="157" t="n"/>
      <c r="K73" s="156" t="n"/>
      <c r="L73" s="135" t="n"/>
      <c r="M73" s="135" t="n"/>
      <c r="N73" s="135" t="n"/>
      <c r="O73" s="135" t="n"/>
      <c r="P73" s="135" t="n"/>
      <c r="Q73" s="135" t="n"/>
      <c r="R73" s="14" t="n"/>
    </row>
    <row r="74" ht="15" customHeight="1">
      <c r="A74" s="135" t="n"/>
      <c r="B74" s="135" t="n"/>
      <c r="C74" s="135" t="n"/>
      <c r="D74" s="135" t="n"/>
      <c r="E74" s="135" t="n"/>
      <c r="F74" s="135" t="n"/>
      <c r="G74" s="155" t="n"/>
      <c r="H74" s="156" t="n"/>
      <c r="I74" s="157" t="n"/>
      <c r="J74" s="157" t="n"/>
      <c r="K74" s="156" t="n"/>
      <c r="L74" s="135" t="n"/>
      <c r="M74" s="135" t="n"/>
      <c r="N74" s="135" t="n"/>
      <c r="O74" s="135" t="n"/>
      <c r="P74" s="135" t="n"/>
      <c r="Q74" s="135" t="n"/>
      <c r="R74" s="14" t="n"/>
    </row>
    <row r="75" ht="15" customHeight="1">
      <c r="A75" s="165" t="inlineStr">
        <is>
          <t>Casing Pre-Mix Formulation</t>
        </is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57" t="inlineStr">
        <is>
          <t>Casing Pre-Mix Formulation NAV Item Code</t>
        </is>
      </c>
      <c r="B76" s="36" t="n"/>
      <c r="C76" s="36" t="n"/>
      <c r="D76" s="37" t="n"/>
      <c r="E76" s="16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7" t="n"/>
      <c r="R76" s="14" t="n"/>
    </row>
    <row r="77" ht="14.5" customHeight="1">
      <c r="A77" s="57" t="inlineStr">
        <is>
          <t>Casing Pre-Mix Formulation NAV Item Description</t>
        </is>
      </c>
      <c r="B77" s="36" t="n"/>
      <c r="C77" s="36" t="n"/>
      <c r="D77" s="37" t="n"/>
      <c r="E77" s="16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7" t="n"/>
      <c r="R77" s="14" t="n"/>
    </row>
    <row r="78">
      <c r="A78" s="62" t="inlineStr">
        <is>
          <t>No</t>
        </is>
      </c>
      <c r="B78" s="62" t="inlineStr">
        <is>
          <t>Material NAV Item
Code</t>
        </is>
      </c>
      <c r="C78" s="62" t="inlineStr">
        <is>
          <t>Material Name</t>
        </is>
      </c>
      <c r="D78" s="25" t="n"/>
      <c r="E78" s="167" t="inlineStr">
        <is>
          <t>Physical State</t>
        </is>
      </c>
      <c r="F78" s="62" t="inlineStr">
        <is>
          <t>CAS Number</t>
        </is>
      </c>
      <c r="G78" s="168" t="inlineStr">
        <is>
          <t>Ratio
(%)</t>
        </is>
      </c>
      <c r="H78" s="64" t="inlineStr">
        <is>
          <t>Dosage
(mg/stick)</t>
        </is>
      </c>
      <c r="I78" s="65" t="inlineStr">
        <is>
          <t>Material
Price
(USD / KG)</t>
        </is>
      </c>
      <c r="J78" s="65" t="inlineStr">
        <is>
          <t>Formulation
Price 
(USD / KG)</t>
        </is>
      </c>
      <c r="K78" s="64" t="inlineStr">
        <is>
          <t>Dosage
(KG / MC)</t>
        </is>
      </c>
      <c r="L78" s="62" t="inlineStr">
        <is>
          <t>Density</t>
        </is>
      </c>
      <c r="M78" s="62" t="inlineStr">
        <is>
          <t>Addition
Sequence</t>
        </is>
      </c>
      <c r="N78" s="62" t="inlineStr">
        <is>
          <t>Temperature</t>
        </is>
      </c>
      <c r="O78" s="62" t="inlineStr">
        <is>
          <t>Agitation
Rate</t>
        </is>
      </c>
      <c r="P78" s="62" t="inlineStr">
        <is>
          <t>Mixing
Duration</t>
        </is>
      </c>
      <c r="Q78" s="62" t="inlineStr">
        <is>
          <t>Work Instruction</t>
        </is>
      </c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66" t="n"/>
      <c r="M79" s="71" t="n"/>
      <c r="N79" s="72" t="n"/>
      <c r="O79" s="72" t="n"/>
      <c r="P79" s="72" t="n"/>
      <c r="Q79" s="72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4" t="n"/>
      <c r="H80" s="69" t="n"/>
      <c r="I80" s="70" t="n"/>
      <c r="J80" s="70" t="n"/>
      <c r="K80" s="69" t="n"/>
      <c r="L80" s="75" t="n"/>
      <c r="M80" s="71" t="n"/>
      <c r="N80" s="72" t="n"/>
      <c r="O80" s="72" t="n"/>
      <c r="P80" s="72" t="n"/>
      <c r="Q80" s="72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4" t="n"/>
      <c r="H81" s="69" t="n"/>
      <c r="I81" s="70" t="n"/>
      <c r="J81" s="70" t="n"/>
      <c r="K81" s="69" t="n"/>
      <c r="L81" s="75" t="n"/>
      <c r="M81" s="71" t="n"/>
      <c r="N81" s="72" t="n"/>
      <c r="O81" s="72" t="n"/>
      <c r="P81" s="72" t="n"/>
      <c r="Q81" s="72" t="n"/>
      <c r="R81" s="14" t="n"/>
    </row>
    <row r="82">
      <c r="A82" s="76" t="inlineStr">
        <is>
          <t>Total</t>
        </is>
      </c>
      <c r="B82" s="76" t="n"/>
      <c r="C82" s="77" t="n"/>
      <c r="D82" s="78" t="n"/>
      <c r="E82" s="76" t="n"/>
      <c r="F82" s="76" t="n"/>
      <c r="G82" s="79">
        <f>SUM(G79:G81)</f>
        <v/>
      </c>
      <c r="H82" s="80">
        <f>SUM(H79:H81)</f>
        <v/>
      </c>
      <c r="I82" s="81" t="n"/>
      <c r="J82" s="82">
        <f>SUM(J79:J81)</f>
        <v/>
      </c>
      <c r="K82" s="80">
        <f>SUM(K79:K81)</f>
        <v/>
      </c>
      <c r="L82" s="83" t="n"/>
      <c r="M82" s="84" t="n"/>
      <c r="N82" s="85" t="n"/>
      <c r="O82" s="85" t="n"/>
      <c r="P82" s="85" t="n"/>
      <c r="Q82" s="85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69" t="n"/>
      <c r="I83" s="89" t="n"/>
      <c r="J83" s="89" t="n"/>
      <c r="K83" s="90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69" t="n"/>
      <c r="I84" s="89" t="n"/>
      <c r="J84" s="89" t="n"/>
      <c r="K84" s="90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69" t="n"/>
      <c r="I85" s="89" t="n"/>
      <c r="J85" s="89" t="n"/>
      <c r="K85" s="90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69" t="n"/>
      <c r="I86" s="89" t="n"/>
      <c r="J86" s="89" t="n"/>
      <c r="K86" s="90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66" t="n"/>
      <c r="B87" s="66" t="n"/>
      <c r="C87" s="67" t="n"/>
      <c r="D87" s="25" t="n"/>
      <c r="E87" s="66" t="n"/>
      <c r="F87" s="66" t="n"/>
      <c r="G87" s="74" t="n"/>
      <c r="H87" s="69" t="n"/>
      <c r="I87" s="89" t="n"/>
      <c r="J87" s="89" t="n"/>
      <c r="K87" s="90" t="n"/>
      <c r="L87" s="75" t="n"/>
      <c r="M87" s="71" t="n"/>
      <c r="N87" s="72" t="n"/>
      <c r="O87" s="72" t="n"/>
      <c r="P87" s="72" t="n"/>
      <c r="Q87" s="72" t="n"/>
      <c r="R87" s="14" t="n"/>
    </row>
    <row r="88" hidden="1" ht="15" customHeight="1">
      <c r="A88" s="66" t="n"/>
      <c r="B88" s="66" t="n"/>
      <c r="C88" s="67" t="n"/>
      <c r="D88" s="25" t="n"/>
      <c r="E88" s="66" t="n"/>
      <c r="F88" s="66" t="n"/>
      <c r="G88" s="74" t="n"/>
      <c r="H88" s="69" t="n"/>
      <c r="I88" s="89" t="n"/>
      <c r="J88" s="89" t="n"/>
      <c r="K88" s="90" t="n"/>
      <c r="L88" s="75" t="n"/>
      <c r="M88" s="71" t="n"/>
      <c r="N88" s="72" t="n"/>
      <c r="O88" s="72" t="n"/>
      <c r="P88" s="72" t="n"/>
      <c r="Q88" s="72" t="n"/>
      <c r="R88" s="14" t="n"/>
    </row>
    <row r="89" hidden="1" ht="15" customHeight="1">
      <c r="A89" s="91" t="n"/>
      <c r="B89" s="24" t="n"/>
      <c r="C89" s="24" t="n"/>
      <c r="D89" s="24" t="n"/>
      <c r="E89" s="24" t="n"/>
      <c r="F89" s="25" t="n"/>
      <c r="G89" s="169" t="n"/>
      <c r="H89" s="170" t="n"/>
      <c r="I89" s="171" t="n"/>
      <c r="J89" s="172" t="n"/>
      <c r="K89" s="173" t="n"/>
      <c r="L89" s="91" t="n"/>
      <c r="M89" s="174" t="n"/>
      <c r="N89" s="175" t="n"/>
      <c r="O89" s="175" t="n"/>
      <c r="P89" s="175" t="n"/>
      <c r="Q89" s="176" t="n"/>
      <c r="R89" s="14" t="n"/>
    </row>
    <row r="90" ht="15" customHeight="1">
      <c r="A90" s="124" t="n"/>
      <c r="B90" s="124" t="n"/>
      <c r="C90" s="124" t="n"/>
      <c r="D90" s="124" t="n"/>
      <c r="E90" s="124" t="n"/>
      <c r="F90" s="124" t="n"/>
      <c r="G90" s="139" t="n"/>
      <c r="H90" s="127" t="n"/>
      <c r="I90" s="140" t="n"/>
      <c r="J90" s="140" t="n"/>
      <c r="K90" s="127" t="n"/>
      <c r="L90" s="124" t="n"/>
      <c r="M90" s="124" t="n"/>
      <c r="N90" s="124" t="n"/>
      <c r="O90" s="124" t="n"/>
      <c r="P90" s="124" t="n"/>
      <c r="Q90" s="124" t="n"/>
      <c r="R90" s="14" t="n"/>
    </row>
    <row r="91" ht="15" customHeight="1">
      <c r="A91" s="165" t="inlineStr">
        <is>
          <t>Flavor Pre-Mix Formulation</t>
        </is>
      </c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57" t="inlineStr">
        <is>
          <t>Flavor Pre-Mix Formulation NAV Item Code</t>
        </is>
      </c>
      <c r="B92" s="36" t="n"/>
      <c r="C92" s="36" t="n"/>
      <c r="D92" s="37" t="n"/>
      <c r="E92" s="16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7" t="n"/>
      <c r="R92" s="14" t="n"/>
    </row>
    <row r="93" ht="14.5" customHeight="1">
      <c r="A93" s="57" t="inlineStr">
        <is>
          <t>Flavor Pre-Mix Formulation NAV Item Description</t>
        </is>
      </c>
      <c r="B93" s="36" t="n"/>
      <c r="C93" s="36" t="n"/>
      <c r="D93" s="37" t="n"/>
      <c r="E93" s="16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7" t="n"/>
      <c r="R93" s="14" t="n"/>
    </row>
    <row r="94" ht="14.5" customHeight="1">
      <c r="A94" s="62" t="inlineStr">
        <is>
          <t>No</t>
        </is>
      </c>
      <c r="B94" s="62" t="inlineStr">
        <is>
          <t>Material NAV Item
Code</t>
        </is>
      </c>
      <c r="C94" s="62" t="inlineStr">
        <is>
          <t>Material Name</t>
        </is>
      </c>
      <c r="D94" s="25" t="n"/>
      <c r="E94" s="167" t="inlineStr">
        <is>
          <t>Physical State</t>
        </is>
      </c>
      <c r="F94" s="62" t="inlineStr">
        <is>
          <t>CAS Number</t>
        </is>
      </c>
      <c r="G94" s="63" t="inlineStr">
        <is>
          <t>Ratio
(%)</t>
        </is>
      </c>
      <c r="H94" s="64" t="inlineStr">
        <is>
          <t>Dosage
(mg/stick)</t>
        </is>
      </c>
      <c r="I94" s="65" t="inlineStr">
        <is>
          <t>Material
Price
(USD / KG)</t>
        </is>
      </c>
      <c r="J94" s="65" t="inlineStr">
        <is>
          <t>Formulation
Price 
(USD / KG)</t>
        </is>
      </c>
      <c r="K94" s="64" t="inlineStr">
        <is>
          <t>Dosage
(KG / MC)</t>
        </is>
      </c>
      <c r="L94" s="62" t="inlineStr">
        <is>
          <t>Density</t>
        </is>
      </c>
      <c r="M94" s="62" t="inlineStr">
        <is>
          <t>Addition
Sequence</t>
        </is>
      </c>
      <c r="N94" s="62" t="inlineStr">
        <is>
          <t>Temperature</t>
        </is>
      </c>
      <c r="O94" s="36" t="n"/>
      <c r="P94" s="36" t="n"/>
      <c r="Q94" s="37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7" t="n"/>
      <c r="N95" s="177" t="n"/>
      <c r="O95" s="36" t="n"/>
      <c r="P95" s="36" t="n"/>
      <c r="Q95" s="37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4" t="n"/>
      <c r="H96" s="69" t="n"/>
      <c r="I96" s="70" t="n"/>
      <c r="J96" s="70" t="n"/>
      <c r="K96" s="69" t="n"/>
      <c r="L96" s="67" t="n"/>
      <c r="M96" s="177" t="n"/>
      <c r="N96" s="177" t="n"/>
      <c r="O96" s="36" t="n"/>
      <c r="P96" s="36" t="n"/>
      <c r="Q96" s="37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4" t="n"/>
      <c r="H97" s="69" t="n"/>
      <c r="I97" s="70" t="n"/>
      <c r="J97" s="70" t="n"/>
      <c r="K97" s="69" t="n"/>
      <c r="L97" s="67" t="n"/>
      <c r="M97" s="177" t="n"/>
      <c r="N97" s="177" t="n"/>
      <c r="O97" s="36" t="n"/>
      <c r="P97" s="36" t="n"/>
      <c r="Q97" s="37" t="n"/>
      <c r="R97" s="14" t="n"/>
    </row>
    <row r="98" ht="14.5" customHeight="1">
      <c r="A98" s="76" t="inlineStr">
        <is>
          <t>Total</t>
        </is>
      </c>
      <c r="B98" s="76" t="n"/>
      <c r="C98" s="178" t="n"/>
      <c r="D98" s="179" t="n"/>
      <c r="E98" s="76" t="n"/>
      <c r="F98" s="76" t="n"/>
      <c r="G98" s="79">
        <f>SUM(G95:G97)</f>
        <v/>
      </c>
      <c r="H98" s="80">
        <f>SUM(H95:H97)</f>
        <v/>
      </c>
      <c r="I98" s="180" t="n"/>
      <c r="J98" s="82">
        <f>SUM(J95:J97)</f>
        <v/>
      </c>
      <c r="K98" s="80">
        <f>SUM(K95:K97)</f>
        <v/>
      </c>
      <c r="L98" s="77" t="n"/>
      <c r="M98" s="181" t="n"/>
      <c r="N98" s="181" t="n"/>
      <c r="O98" s="182" t="n"/>
      <c r="P98" s="182" t="n"/>
      <c r="Q98" s="183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69" t="n"/>
      <c r="I99" s="184" t="n"/>
      <c r="J99" s="185" t="n"/>
      <c r="K99" s="90" t="n"/>
      <c r="L99" s="67" t="n"/>
      <c r="M99" s="62" t="n"/>
      <c r="N99" s="62" t="n"/>
      <c r="O99" s="36" t="n"/>
      <c r="P99" s="36" t="n"/>
      <c r="Q99" s="37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69" t="n"/>
      <c r="I100" s="184" t="n"/>
      <c r="J100" s="185" t="n"/>
      <c r="K100" s="90" t="n"/>
      <c r="L100" s="67" t="n"/>
      <c r="M100" s="186" t="n"/>
      <c r="N100" s="187" t="n"/>
      <c r="O100" s="186" t="n"/>
      <c r="P100" s="186" t="n"/>
      <c r="Q100" s="187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69" t="n"/>
      <c r="I101" s="184" t="n"/>
      <c r="J101" s="185" t="n"/>
      <c r="K101" s="90" t="n"/>
      <c r="L101" s="67" t="n"/>
      <c r="M101" s="188" t="n"/>
      <c r="N101" s="189" t="n"/>
      <c r="O101" s="188" t="n"/>
      <c r="P101" s="188" t="n"/>
      <c r="Q101" s="189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69" t="n"/>
      <c r="I102" s="184" t="n"/>
      <c r="J102" s="185" t="n"/>
      <c r="K102" s="90" t="n"/>
      <c r="L102" s="67" t="n"/>
      <c r="M102" s="190" t="n"/>
      <c r="N102" s="66" t="n"/>
      <c r="O102" s="66" t="n"/>
      <c r="P102" s="72" t="n"/>
      <c r="Q102" s="72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69" t="n"/>
      <c r="I103" s="184" t="n"/>
      <c r="J103" s="185" t="n"/>
      <c r="K103" s="90" t="n"/>
      <c r="L103" s="67" t="n"/>
      <c r="M103" s="186" t="n"/>
      <c r="N103" s="186" t="n"/>
      <c r="O103" s="186" t="n"/>
      <c r="P103" s="187" t="n"/>
      <c r="Q103" s="187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69" t="n"/>
      <c r="I104" s="184" t="n"/>
      <c r="J104" s="185" t="n"/>
      <c r="K104" s="90" t="n"/>
      <c r="L104" s="67" t="n"/>
      <c r="M104" s="186" t="n"/>
      <c r="N104" s="186" t="n"/>
      <c r="O104" s="186" t="n"/>
      <c r="P104" s="187" t="n"/>
      <c r="Q104" s="187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69" t="n"/>
      <c r="I105" s="184" t="n"/>
      <c r="J105" s="185" t="n"/>
      <c r="K105" s="90" t="n"/>
      <c r="L105" s="67" t="n"/>
      <c r="M105" s="186" t="n"/>
      <c r="N105" s="186" t="n"/>
      <c r="O105" s="186" t="n"/>
      <c r="P105" s="187" t="n"/>
      <c r="Q105" s="187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69" t="n"/>
      <c r="I106" s="184" t="n"/>
      <c r="J106" s="185" t="n"/>
      <c r="K106" s="90" t="n"/>
      <c r="L106" s="67" t="n"/>
      <c r="M106" s="186" t="n"/>
      <c r="N106" s="186" t="n"/>
      <c r="O106" s="186" t="n"/>
      <c r="P106" s="187" t="n"/>
      <c r="Q106" s="187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69" t="n"/>
      <c r="I107" s="184" t="n"/>
      <c r="J107" s="185" t="n"/>
      <c r="K107" s="90" t="n"/>
      <c r="L107" s="67" t="n"/>
      <c r="M107" s="186" t="n"/>
      <c r="N107" s="186" t="n"/>
      <c r="O107" s="186" t="n"/>
      <c r="P107" s="187" t="n"/>
      <c r="Q107" s="187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69" t="n"/>
      <c r="I108" s="184" t="n"/>
      <c r="J108" s="185" t="n"/>
      <c r="K108" s="90" t="n"/>
      <c r="L108" s="67" t="n"/>
      <c r="M108" s="186" t="n"/>
      <c r="N108" s="186" t="n"/>
      <c r="O108" s="186" t="n"/>
      <c r="P108" s="187" t="n"/>
      <c r="Q108" s="187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69" t="n"/>
      <c r="I109" s="184" t="n"/>
      <c r="J109" s="185" t="n"/>
      <c r="K109" s="90" t="n"/>
      <c r="L109" s="67" t="n"/>
      <c r="M109" s="186" t="n"/>
      <c r="N109" s="186" t="n"/>
      <c r="O109" s="186" t="n"/>
      <c r="P109" s="187" t="n"/>
      <c r="Q109" s="187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69" t="n"/>
      <c r="I110" s="184" t="n"/>
      <c r="J110" s="185" t="n"/>
      <c r="K110" s="90" t="n"/>
      <c r="L110" s="67" t="n"/>
      <c r="M110" s="186" t="n"/>
      <c r="N110" s="186" t="n"/>
      <c r="O110" s="186" t="n"/>
      <c r="P110" s="187" t="n"/>
      <c r="Q110" s="187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69" t="n"/>
      <c r="I111" s="184" t="n"/>
      <c r="J111" s="185" t="n"/>
      <c r="K111" s="90" t="n"/>
      <c r="L111" s="67" t="n"/>
      <c r="M111" s="186" t="n"/>
      <c r="N111" s="186" t="n"/>
      <c r="O111" s="186" t="n"/>
      <c r="P111" s="187" t="n"/>
      <c r="Q111" s="187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69" t="n"/>
      <c r="I112" s="184" t="n"/>
      <c r="J112" s="185" t="n"/>
      <c r="K112" s="90" t="n"/>
      <c r="L112" s="67" t="n"/>
      <c r="M112" s="186" t="n"/>
      <c r="N112" s="186" t="n"/>
      <c r="O112" s="186" t="n"/>
      <c r="P112" s="187" t="n"/>
      <c r="Q112" s="187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69" t="n"/>
      <c r="I113" s="184" t="n"/>
      <c r="J113" s="185" t="n"/>
      <c r="K113" s="90" t="n"/>
      <c r="L113" s="67" t="n"/>
      <c r="M113" s="186" t="n"/>
      <c r="N113" s="186" t="n"/>
      <c r="O113" s="186" t="n"/>
      <c r="P113" s="187" t="n"/>
      <c r="Q113" s="187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69" t="n"/>
      <c r="I114" s="184" t="n"/>
      <c r="J114" s="185" t="n"/>
      <c r="K114" s="90" t="n"/>
      <c r="L114" s="67" t="n"/>
      <c r="M114" s="186" t="n"/>
      <c r="N114" s="186" t="n"/>
      <c r="O114" s="186" t="n"/>
      <c r="P114" s="187" t="n"/>
      <c r="Q114" s="187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69" t="n"/>
      <c r="I115" s="184" t="n"/>
      <c r="J115" s="185" t="n"/>
      <c r="K115" s="90" t="n"/>
      <c r="L115" s="67" t="n"/>
      <c r="M115" s="186" t="n"/>
      <c r="N115" s="186" t="n"/>
      <c r="O115" s="186" t="n"/>
      <c r="P115" s="187" t="n"/>
      <c r="Q115" s="187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69" t="n"/>
      <c r="I116" s="184" t="n"/>
      <c r="J116" s="185" t="n"/>
      <c r="K116" s="90" t="n"/>
      <c r="L116" s="67" t="n"/>
      <c r="M116" s="186" t="n"/>
      <c r="N116" s="186" t="n"/>
      <c r="O116" s="186" t="n"/>
      <c r="P116" s="187" t="n"/>
      <c r="Q116" s="187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69" t="n"/>
      <c r="I117" s="184" t="n"/>
      <c r="J117" s="185" t="n"/>
      <c r="K117" s="90" t="n"/>
      <c r="L117" s="67" t="n"/>
      <c r="M117" s="186" t="n"/>
      <c r="N117" s="186" t="n"/>
      <c r="O117" s="186" t="n"/>
      <c r="P117" s="187" t="n"/>
      <c r="Q117" s="187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69" t="n"/>
      <c r="I118" s="184" t="n"/>
      <c r="J118" s="185" t="n"/>
      <c r="K118" s="90" t="n"/>
      <c r="L118" s="67" t="n"/>
      <c r="M118" s="186" t="n"/>
      <c r="N118" s="186" t="n"/>
      <c r="O118" s="186" t="n"/>
      <c r="P118" s="187" t="n"/>
      <c r="Q118" s="187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69" t="n"/>
      <c r="I119" s="184" t="n"/>
      <c r="J119" s="185" t="n"/>
      <c r="K119" s="90" t="n"/>
      <c r="L119" s="67" t="n"/>
      <c r="M119" s="186" t="n"/>
      <c r="N119" s="186" t="n"/>
      <c r="O119" s="186" t="n"/>
      <c r="P119" s="187" t="n"/>
      <c r="Q119" s="187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69" t="n"/>
      <c r="I120" s="184" t="n"/>
      <c r="J120" s="185" t="n"/>
      <c r="K120" s="90" t="n"/>
      <c r="L120" s="67" t="n"/>
      <c r="M120" s="186" t="n"/>
      <c r="N120" s="186" t="n"/>
      <c r="O120" s="186" t="n"/>
      <c r="P120" s="187" t="n"/>
      <c r="Q120" s="187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69" t="n"/>
      <c r="I121" s="184" t="n"/>
      <c r="J121" s="185" t="n"/>
      <c r="K121" s="90" t="n"/>
      <c r="L121" s="67" t="n"/>
      <c r="M121" s="186" t="n"/>
      <c r="N121" s="186" t="n"/>
      <c r="O121" s="186" t="n"/>
      <c r="P121" s="187" t="n"/>
      <c r="Q121" s="187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69" t="n"/>
      <c r="I122" s="184" t="n"/>
      <c r="J122" s="185" t="n"/>
      <c r="K122" s="90" t="n"/>
      <c r="L122" s="67" t="n"/>
      <c r="M122" s="186" t="n"/>
      <c r="N122" s="186" t="n"/>
      <c r="O122" s="186" t="n"/>
      <c r="P122" s="187" t="n"/>
      <c r="Q122" s="187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69" t="n"/>
      <c r="I123" s="184" t="n"/>
      <c r="J123" s="185" t="n"/>
      <c r="K123" s="90" t="n"/>
      <c r="L123" s="67" t="n"/>
      <c r="M123" s="186" t="n"/>
      <c r="N123" s="186" t="n"/>
      <c r="O123" s="186" t="n"/>
      <c r="P123" s="187" t="n"/>
      <c r="Q123" s="187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69" t="n"/>
      <c r="I124" s="184" t="n"/>
      <c r="J124" s="185" t="n"/>
      <c r="K124" s="90" t="n"/>
      <c r="L124" s="67" t="n"/>
      <c r="M124" s="186" t="n"/>
      <c r="N124" s="186" t="n"/>
      <c r="O124" s="186" t="n"/>
      <c r="P124" s="187" t="n"/>
      <c r="Q124" s="187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69" t="n"/>
      <c r="I125" s="184" t="n"/>
      <c r="J125" s="185" t="n"/>
      <c r="K125" s="90" t="n"/>
      <c r="L125" s="67" t="n"/>
      <c r="M125" s="186" t="n"/>
      <c r="N125" s="186" t="n"/>
      <c r="O125" s="186" t="n"/>
      <c r="P125" s="187" t="n"/>
      <c r="Q125" s="187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69" t="n"/>
      <c r="I126" s="184" t="n"/>
      <c r="J126" s="185" t="n"/>
      <c r="K126" s="90" t="n"/>
      <c r="L126" s="67" t="n"/>
      <c r="M126" s="186" t="n"/>
      <c r="N126" s="186" t="n"/>
      <c r="O126" s="186" t="n"/>
      <c r="P126" s="187" t="n"/>
      <c r="Q126" s="187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69" t="n"/>
      <c r="I127" s="184" t="n"/>
      <c r="J127" s="185" t="n"/>
      <c r="K127" s="90" t="n"/>
      <c r="L127" s="67" t="n"/>
      <c r="M127" s="186" t="n"/>
      <c r="N127" s="186" t="n"/>
      <c r="O127" s="186" t="n"/>
      <c r="P127" s="187" t="n"/>
      <c r="Q127" s="187" t="n"/>
      <c r="R127" s="14" t="n"/>
    </row>
    <row r="128" hidden="1" ht="14.5" customHeight="1">
      <c r="A128" s="66" t="n"/>
      <c r="B128" s="66" t="n"/>
      <c r="C128" s="33" t="n"/>
      <c r="D128" s="32" t="n"/>
      <c r="E128" s="66" t="n"/>
      <c r="F128" s="66" t="n"/>
      <c r="G128" s="74" t="n"/>
      <c r="H128" s="69" t="n"/>
      <c r="I128" s="184" t="n"/>
      <c r="J128" s="185" t="n"/>
      <c r="K128" s="90" t="n"/>
      <c r="L128" s="67" t="n"/>
      <c r="M128" s="186" t="n"/>
      <c r="N128" s="186" t="n"/>
      <c r="O128" s="186" t="n"/>
      <c r="P128" s="187" t="n"/>
      <c r="Q128" s="187" t="n"/>
      <c r="R128" s="14" t="n"/>
    </row>
    <row r="129" hidden="1" ht="14.5" customHeight="1">
      <c r="A129" s="66" t="n"/>
      <c r="B129" s="66" t="n"/>
      <c r="C129" s="33" t="n"/>
      <c r="D129" s="32" t="n"/>
      <c r="E129" s="66" t="n"/>
      <c r="F129" s="66" t="n"/>
      <c r="G129" s="74" t="n"/>
      <c r="H129" s="69" t="n"/>
      <c r="I129" s="184" t="n"/>
      <c r="J129" s="185" t="n"/>
      <c r="K129" s="90" t="n"/>
      <c r="L129" s="67" t="n"/>
      <c r="M129" s="188" t="n"/>
      <c r="N129" s="188" t="n"/>
      <c r="O129" s="188" t="n"/>
      <c r="P129" s="189" t="n"/>
      <c r="Q129" s="189" t="n"/>
      <c r="R129" s="14" t="n"/>
    </row>
    <row r="130" hidden="1">
      <c r="A130" s="91" t="n"/>
      <c r="B130" s="24" t="n"/>
      <c r="C130" s="24" t="n"/>
      <c r="D130" s="24" t="n"/>
      <c r="E130" s="24" t="n"/>
      <c r="F130" s="25" t="n"/>
      <c r="G130" s="169" t="n"/>
      <c r="H130" s="170" t="n"/>
      <c r="I130" s="171" t="n"/>
      <c r="J130" s="172" t="n"/>
      <c r="K130" s="173" t="n"/>
      <c r="L130" s="91" t="n"/>
      <c r="M130" s="174" t="n"/>
      <c r="N130" s="175" t="n"/>
      <c r="O130" s="175" t="n"/>
      <c r="P130" s="175" t="n"/>
      <c r="Q130" s="175" t="n"/>
      <c r="R130" s="14" t="n"/>
    </row>
    <row r="131">
      <c r="A131" s="38" t="n"/>
      <c r="B131" s="38" t="n"/>
      <c r="C131" s="38" t="n"/>
      <c r="D131" s="124" t="n"/>
      <c r="E131" s="124" t="n"/>
      <c r="F131" s="124" t="n"/>
      <c r="G131" s="139" t="n"/>
      <c r="H131" s="127" t="n"/>
      <c r="I131" s="140" t="n"/>
      <c r="J131" s="140" t="n"/>
      <c r="K131" s="127" t="n"/>
      <c r="L131" s="124" t="n"/>
      <c r="M131" s="124" t="n"/>
      <c r="N131" s="124" t="n"/>
      <c r="O131" s="124" t="n"/>
      <c r="P131" s="124" t="n"/>
      <c r="Q131" s="124" t="n"/>
      <c r="R131" s="14" t="n"/>
    </row>
    <row r="132" ht="15" customHeight="1">
      <c r="A132" s="165" t="inlineStr">
        <is>
          <t>Flavor Pre-Mix Formulation</t>
        </is>
      </c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57" t="inlineStr">
        <is>
          <t>Flavor Pre-Mix Formulation NAV Item Code</t>
        </is>
      </c>
      <c r="B133" s="36" t="n"/>
      <c r="C133" s="36" t="n"/>
      <c r="D133" s="37" t="n"/>
      <c r="E133" s="16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7" t="n"/>
      <c r="R133" s="14" t="n"/>
    </row>
    <row r="134">
      <c r="A134" s="57" t="inlineStr">
        <is>
          <t>Flavor Pre-Mix Formulation NAV Item Description</t>
        </is>
      </c>
      <c r="B134" s="36" t="n"/>
      <c r="C134" s="36" t="n"/>
      <c r="D134" s="37" t="n"/>
      <c r="E134" s="16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7" t="n"/>
      <c r="R134" s="14" t="n"/>
    </row>
    <row r="135">
      <c r="A135" s="62" t="inlineStr">
        <is>
          <t>No</t>
        </is>
      </c>
      <c r="B135" s="62" t="inlineStr">
        <is>
          <t>Material NAV Item
Code</t>
        </is>
      </c>
      <c r="C135" s="62" t="inlineStr">
        <is>
          <t>Material Name</t>
        </is>
      </c>
      <c r="D135" s="25" t="n"/>
      <c r="E135" s="167" t="inlineStr">
        <is>
          <t>Physical State</t>
        </is>
      </c>
      <c r="F135" s="62" t="inlineStr">
        <is>
          <t>CAS Number</t>
        </is>
      </c>
      <c r="G135" s="63" t="inlineStr">
        <is>
          <t>Ratio
(%)</t>
        </is>
      </c>
      <c r="H135" s="64" t="inlineStr">
        <is>
          <t>Dosage
(mg/stick)</t>
        </is>
      </c>
      <c r="I135" s="65" t="inlineStr">
        <is>
          <t>Material
Price
(USD / KG)</t>
        </is>
      </c>
      <c r="J135" s="65" t="inlineStr">
        <is>
          <t>Formulation
Price 
(USD / KG)</t>
        </is>
      </c>
      <c r="K135" s="64" t="inlineStr">
        <is>
          <t>Dosage
(KG / MC)</t>
        </is>
      </c>
      <c r="L135" s="62" t="inlineStr">
        <is>
          <t>Density</t>
        </is>
      </c>
      <c r="M135" s="36" t="n"/>
      <c r="N135" s="36" t="n"/>
      <c r="O135" s="36" t="n"/>
      <c r="P135" s="36" t="n"/>
      <c r="Q135" s="37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66" t="n"/>
      <c r="M136" s="36" t="n"/>
      <c r="N136" s="36" t="n"/>
      <c r="O136" s="36" t="n"/>
      <c r="P136" s="36" t="n"/>
      <c r="Q136" s="37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4" t="n"/>
      <c r="H137" s="69" t="n"/>
      <c r="I137" s="70" t="n"/>
      <c r="J137" s="70" t="n"/>
      <c r="K137" s="69" t="n"/>
      <c r="L137" s="75" t="n"/>
      <c r="M137" s="36" t="n"/>
      <c r="N137" s="36" t="n"/>
      <c r="O137" s="36" t="n"/>
      <c r="P137" s="36" t="n"/>
      <c r="Q137" s="37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4" t="n"/>
      <c r="H138" s="69" t="n"/>
      <c r="I138" s="70" t="n"/>
      <c r="J138" s="70" t="n"/>
      <c r="K138" s="69" t="n"/>
      <c r="L138" s="75" t="n"/>
      <c r="M138" s="186" t="n"/>
      <c r="N138" s="186" t="n"/>
      <c r="O138" s="36" t="n"/>
      <c r="P138" s="36" t="n"/>
      <c r="Q138" s="37" t="n"/>
      <c r="R138" s="14" t="n"/>
    </row>
    <row r="139">
      <c r="A139" s="76" t="inlineStr">
        <is>
          <t>Total</t>
        </is>
      </c>
      <c r="B139" s="76" t="n"/>
      <c r="C139" s="178" t="n"/>
      <c r="D139" s="179" t="n"/>
      <c r="E139" s="76" t="n"/>
      <c r="F139" s="76" t="n"/>
      <c r="G139" s="79">
        <f>SUM(G136:G138)</f>
        <v/>
      </c>
      <c r="H139" s="80">
        <f>SUM(H136:H138)</f>
        <v/>
      </c>
      <c r="I139" s="180" t="n"/>
      <c r="J139" s="82">
        <f>SUM(J136:J138)</f>
        <v/>
      </c>
      <c r="K139" s="80">
        <f>SUM(K136:K138)</f>
        <v/>
      </c>
      <c r="L139" s="83" t="n"/>
      <c r="M139" s="191" t="n"/>
      <c r="N139" s="191" t="n"/>
      <c r="O139" s="182" t="n"/>
      <c r="P139" s="182" t="n"/>
      <c r="Q139" s="183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69" t="n"/>
      <c r="I140" s="184" t="n"/>
      <c r="J140" s="185" t="n"/>
      <c r="K140" s="90" t="n"/>
      <c r="L140" s="75" t="n"/>
      <c r="M140" s="186" t="n"/>
      <c r="N140" s="186" t="n"/>
      <c r="O140" s="36" t="n"/>
      <c r="P140" s="36" t="n"/>
      <c r="Q140" s="37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69" t="n"/>
      <c r="I141" s="184" t="n"/>
      <c r="J141" s="185" t="n"/>
      <c r="K141" s="90" t="n"/>
      <c r="L141" s="75" t="n"/>
      <c r="M141" s="186" t="n"/>
      <c r="N141" s="186" t="n"/>
      <c r="O141" s="36" t="n"/>
      <c r="P141" s="36" t="n"/>
      <c r="Q141" s="37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69" t="n"/>
      <c r="I142" s="184" t="n"/>
      <c r="J142" s="185" t="n"/>
      <c r="K142" s="90" t="n"/>
      <c r="L142" s="75" t="n"/>
      <c r="M142" s="186" t="n"/>
      <c r="N142" s="186" t="n"/>
      <c r="O142" s="36" t="n"/>
      <c r="P142" s="36" t="n"/>
      <c r="Q142" s="37" t="n"/>
      <c r="R142" s="14" t="n"/>
    </row>
    <row r="143" hidden="1">
      <c r="A143" s="66" t="n"/>
      <c r="B143" s="66" t="n"/>
      <c r="C143" s="33" t="n"/>
      <c r="D143" s="32" t="n"/>
      <c r="E143" s="66" t="n"/>
      <c r="F143" s="66" t="n"/>
      <c r="G143" s="74" t="n"/>
      <c r="H143" s="69" t="n"/>
      <c r="I143" s="184" t="n"/>
      <c r="J143" s="185" t="n"/>
      <c r="K143" s="90" t="n"/>
      <c r="L143" s="75" t="n"/>
      <c r="M143" s="186" t="n"/>
      <c r="N143" s="186" t="n"/>
      <c r="O143" s="186" t="n"/>
      <c r="P143" s="186" t="n"/>
      <c r="Q143" s="186" t="n"/>
      <c r="R143" s="14" t="n"/>
    </row>
    <row r="144" hidden="1">
      <c r="A144" s="66" t="n"/>
      <c r="B144" s="66" t="n"/>
      <c r="C144" s="33" t="n"/>
      <c r="D144" s="32" t="n"/>
      <c r="E144" s="66" t="n"/>
      <c r="F144" s="66" t="n"/>
      <c r="G144" s="74" t="n"/>
      <c r="H144" s="69" t="n"/>
      <c r="I144" s="184" t="n"/>
      <c r="J144" s="185" t="n"/>
      <c r="K144" s="90" t="n"/>
      <c r="L144" s="75" t="n"/>
      <c r="M144" s="188" t="n"/>
      <c r="N144" s="188" t="n"/>
      <c r="O144" s="188" t="n"/>
      <c r="P144" s="188" t="n"/>
      <c r="Q144" s="188" t="n"/>
      <c r="R144" s="14" t="n"/>
    </row>
    <row r="145" hidden="1">
      <c r="A145" s="91" t="n"/>
      <c r="B145" s="24" t="n"/>
      <c r="C145" s="24" t="n"/>
      <c r="D145" s="24" t="n"/>
      <c r="E145" s="24" t="n"/>
      <c r="F145" s="25" t="n"/>
      <c r="G145" s="169" t="n"/>
      <c r="H145" s="192" t="n"/>
      <c r="I145" s="171" t="n"/>
      <c r="J145" s="172" t="n"/>
      <c r="K145" s="173" t="n"/>
      <c r="L145" s="91" t="n"/>
      <c r="M145" s="174" t="n"/>
      <c r="N145" s="175" t="n"/>
      <c r="O145" s="175" t="n"/>
      <c r="P145" s="175" t="n"/>
      <c r="Q145" s="175" t="n"/>
      <c r="R145" s="14" t="n"/>
    </row>
  </sheetData>
  <mergeCells count="121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C55:D5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3" t="inlineStr">
        <is>
          <t>Item Code</t>
        </is>
      </c>
      <c r="B1" s="193" t="inlineStr">
        <is>
          <t>SAAT</t>
        </is>
      </c>
      <c r="C1" s="193" t="inlineStr">
        <is>
          <t>BOL</t>
        </is>
      </c>
      <c r="D1" s="193" t="inlineStr">
        <is>
          <t>Jumlah *</t>
        </is>
      </c>
      <c r="E1" s="193" t="inlineStr">
        <is>
          <t>Item Name</t>
        </is>
      </c>
      <c r="F1" s="193" t="inlineStr">
        <is>
          <t>Chemical Name</t>
        </is>
      </c>
      <c r="G1" s="193" t="inlineStr">
        <is>
          <t>Price (USD)/KG</t>
        </is>
      </c>
      <c r="H1" s="193" t="inlineStr">
        <is>
          <t>CAS Number</t>
        </is>
      </c>
      <c r="I1" s="19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Top Flavor</t>
        </is>
      </c>
      <c r="B12" s="5" t="inlineStr">
        <is>
          <t>GEN-WA-00001</t>
        </is>
      </c>
      <c r="C12" s="5" t="inlineStr">
        <is>
          <t>WATER</t>
        </is>
      </c>
      <c r="D12" s="7" t="n">
        <v>4</v>
      </c>
      <c r="E12" s="5" t="n">
        <v>1</v>
      </c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Top Flavor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4</v>
      </c>
      <c r="E13" s="5" t="n">
        <v>2</v>
      </c>
      <c r="F13" s="5" t="n"/>
      <c r="G13" s="5" t="n"/>
      <c r="H13" s="5" t="n"/>
      <c r="I13" s="5" t="n"/>
      <c r="J13" s="5" t="n"/>
      <c r="K13" s="5" t="n"/>
    </row>
    <row r="14">
      <c r="A14" s="5" t="inlineStr">
        <is>
          <t>Top Flavor</t>
        </is>
      </c>
      <c r="B14" s="5" t="inlineStr">
        <is>
          <t>GEN-WA-00001</t>
        </is>
      </c>
      <c r="C14" s="5" t="inlineStr">
        <is>
          <t>WATER</t>
        </is>
      </c>
      <c r="D14" s="7" t="n">
        <v>4</v>
      </c>
      <c r="E14" s="5" t="n">
        <v>3</v>
      </c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Top Flavor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2</v>
      </c>
      <c r="E15" s="5" t="n">
        <v>4</v>
      </c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2026-07-08T02:45:49Z</dcterms:created>
  <dcterms:modified xsi:type="dcterms:W3CDTF">2026-07-08T02:45:50Z</dcterms:modified>
</cp:coreProperties>
</file>