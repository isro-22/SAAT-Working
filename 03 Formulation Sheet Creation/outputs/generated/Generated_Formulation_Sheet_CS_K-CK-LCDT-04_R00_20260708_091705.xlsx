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left" vertical="center" wrapText="1"/>
      <protection locked="0" hidden="0"/>
    </xf>
    <xf numFmtId="173" fontId="8" fillId="12" borderId="2" applyAlignment="1" applyProtection="1" pivotButton="0" quotePrefix="0" xfId="3">
      <alignment horizontal="left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0">
      <alignment horizontal="center" vertical="center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12" borderId="2" applyAlignment="1" applyProtection="1" pivotButton="0" quotePrefix="0" xfId="1">
      <alignment horizontal="center" vertical="center" wrapText="1"/>
      <protection locked="0" hidden="0"/>
    </xf>
    <xf numFmtId="164" fontId="3" fillId="12" borderId="5" applyAlignment="1" applyProtection="1" pivotButton="0" quotePrefix="0" xfId="0">
      <alignment horizontal="center" vertical="center" wrapText="1"/>
      <protection locked="0" hidden="0"/>
    </xf>
    <xf numFmtId="2" fontId="3" fillId="12" borderId="2" applyAlignment="1" applyProtection="1" pivotButton="0" quotePrefix="0" xfId="3">
      <alignment horizontal="left" vertical="center" wrapText="1"/>
      <protection locked="0" hidden="0"/>
    </xf>
    <xf numFmtId="173" fontId="3" fillId="12" borderId="2" applyAlignment="1" applyProtection="1" pivotButton="0" quotePrefix="0" xfId="3">
      <alignment horizontal="left" vertical="center" wrapText="1"/>
      <protection locked="0" hidden="0"/>
    </xf>
    <xf numFmtId="164" fontId="3" fillId="12" borderId="2" applyAlignment="1" applyProtection="1" pivotButton="0" quotePrefix="0" xfId="0">
      <alignment horizontal="left" vertical="center" wrapText="1"/>
      <protection locked="0" hidden="0"/>
    </xf>
    <xf numFmtId="0" fontId="3" fillId="12" borderId="6" applyAlignment="1" applyProtection="1" pivotButton="0" quotePrefix="0" xfId="0">
      <alignment horizontal="center" vertical="center" wrapText="1"/>
      <protection locked="0" hidden="0"/>
    </xf>
    <xf numFmtId="0" fontId="3" fillId="12" borderId="4" applyAlignment="1" applyProtection="1" pivotButton="0" quotePrefix="0" xfId="0">
      <alignment horizontal="center" vertical="center" wrapText="1"/>
      <protection locked="0" hidden="0"/>
    </xf>
    <xf numFmtId="0" fontId="3" fillId="12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12" borderId="13" applyProtection="1" pivotButton="0" quotePrefix="0" xfId="0">
      <protection locked="0" hidden="0"/>
    </xf>
    <xf numFmtId="0" fontId="0" fillId="12" borderId="1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95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CONCATENATE(E22,"/",E33,"/",E44)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GEN-FBL-00000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CAS-X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7" t="n"/>
      <c r="C29" s="77" t="n"/>
      <c r="D29" s="77" t="n"/>
      <c r="E29" s="77" t="n"/>
      <c r="F29" s="78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3">
        <f>SUM(K26:K28)</f>
        <v/>
      </c>
      <c r="L29" s="84" t="n"/>
      <c r="M29" s="85" t="n"/>
      <c r="N29" s="85" t="n"/>
      <c r="O29" s="85" t="n"/>
      <c r="P29" s="85" t="n"/>
      <c r="Q29" s="86" t="n"/>
      <c r="R29" s="87" t="n"/>
    </row>
    <row r="30" ht="32" customHeight="1">
      <c r="A30" s="31" t="n"/>
      <c r="B30" s="31" t="n"/>
      <c r="C30" s="31" t="n"/>
      <c r="D30" s="31" t="n"/>
      <c r="E30" s="31" t="n"/>
      <c r="F30" s="31" t="n"/>
      <c r="G30" s="88" t="n"/>
      <c r="H30" s="89" t="n"/>
      <c r="I30" s="90" t="n"/>
      <c r="J30" s="90" t="n"/>
      <c r="K30" s="89" t="n"/>
      <c r="L30" s="31" t="n"/>
      <c r="M30" s="31" t="n"/>
      <c r="N30" s="31" t="n"/>
      <c r="O30" s="31" t="n"/>
      <c r="P30" s="31" t="n"/>
      <c r="Q30" s="31" t="n"/>
      <c r="R30" s="14" t="n"/>
    </row>
    <row r="31" ht="14.5" customHeight="1">
      <c r="A31" s="56" t="inlineStr">
        <is>
          <t>Casing Krosok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7" t="n"/>
      <c r="R31" s="14" t="n"/>
    </row>
    <row r="32" ht="15" customHeight="1">
      <c r="A32" s="57" t="inlineStr">
        <is>
          <t>Casing NAV Item Code</t>
        </is>
      </c>
      <c r="B32" s="36" t="n"/>
      <c r="C32" s="36" t="n"/>
      <c r="D32" s="37" t="n"/>
      <c r="E32" s="58" t="inlineStr">
        <is>
          <t>GEN-FBL-00000</t>
        </is>
      </c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7" t="n"/>
      <c r="R32" s="14" t="n"/>
    </row>
    <row r="33" ht="15" customHeight="1">
      <c r="A33" s="57" t="inlineStr">
        <is>
          <t>Casing NAV Item Description</t>
        </is>
      </c>
      <c r="B33" s="36" t="n"/>
      <c r="C33" s="36" t="n"/>
      <c r="D33" s="37" t="n"/>
      <c r="E33" s="58" t="inlineStr">
        <is>
          <t>CS-CK-CKO-04</t>
        </is>
      </c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Blend Ratio</t>
        </is>
      </c>
      <c r="B34" s="36" t="n"/>
      <c r="C34" s="36" t="n"/>
      <c r="D34" s="37" t="n"/>
      <c r="E34" s="59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Application (%)</t>
        </is>
      </c>
      <c r="B35" s="36" t="n"/>
      <c r="C35" s="36" t="n"/>
      <c r="D35" s="37" t="n"/>
      <c r="E35" s="60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61" t="n"/>
    </row>
    <row r="36" ht="15" customHeight="1">
      <c r="A36" s="62" t="inlineStr">
        <is>
          <t>No</t>
        </is>
      </c>
      <c r="B36" s="62" t="inlineStr">
        <is>
          <t>Material NAV Item
Code</t>
        </is>
      </c>
      <c r="C36" s="62" t="inlineStr">
        <is>
          <t>Material Name</t>
        </is>
      </c>
      <c r="D36" s="25" t="n"/>
      <c r="E36" s="62" t="inlineStr">
        <is>
          <t>Physical
Form</t>
        </is>
      </c>
      <c r="F36" s="62" t="inlineStr">
        <is>
          <t>CAS Number</t>
        </is>
      </c>
      <c r="G36" s="63" t="inlineStr">
        <is>
          <t>Ratio
(%)</t>
        </is>
      </c>
      <c r="H36" s="64" t="inlineStr">
        <is>
          <t>Dosage
(mg/stick)</t>
        </is>
      </c>
      <c r="I36" s="65" t="inlineStr">
        <is>
          <t>Material
Price
(USD / KG)</t>
        </is>
      </c>
      <c r="J36" s="65" t="inlineStr">
        <is>
          <t>Formulation
Price 
(USD / KG)</t>
        </is>
      </c>
      <c r="K36" s="64" t="inlineStr">
        <is>
          <t>Dosage
(KG / MC)</t>
        </is>
      </c>
      <c r="L36" s="62" t="inlineStr">
        <is>
          <t>Density</t>
        </is>
      </c>
      <c r="M36" s="62" t="inlineStr">
        <is>
          <t>Addition
Sequence</t>
        </is>
      </c>
      <c r="N36" s="62" t="inlineStr">
        <is>
          <t>Temperature</t>
        </is>
      </c>
      <c r="O36" s="62" t="inlineStr">
        <is>
          <t>Agitation
Rate</t>
        </is>
      </c>
      <c r="P36" s="62" t="inlineStr">
        <is>
          <t>Mixing
Duration</t>
        </is>
      </c>
      <c r="Q36" s="62" t="inlineStr">
        <is>
          <t>Work Instruction</t>
        </is>
      </c>
      <c r="R36" s="14" t="n"/>
    </row>
    <row r="37" ht="15" customHeight="1">
      <c r="A37" s="66" t="n"/>
      <c r="B37" s="66" t="n"/>
      <c r="C37" s="66" t="n"/>
      <c r="D37" s="66" t="n"/>
      <c r="E37" s="66" t="n"/>
      <c r="F37" s="66" t="n"/>
      <c r="G37" s="74" t="n"/>
      <c r="H37" s="69" t="n"/>
      <c r="I37" s="91" t="n"/>
      <c r="J37" s="91" t="n"/>
      <c r="K37" s="69" t="n"/>
      <c r="L37" s="66" t="n"/>
      <c r="M37" s="66" t="n"/>
      <c r="N37" s="66" t="n"/>
      <c r="O37" s="66" t="n"/>
      <c r="P37" s="66" t="n"/>
      <c r="Q37" s="66" t="n"/>
      <c r="R37" s="14" t="n"/>
    </row>
    <row r="38" ht="43.5" customHeight="1">
      <c r="A38" s="66" t="n"/>
      <c r="B38" s="66" t="n"/>
      <c r="C38" s="67" t="n"/>
      <c r="D38" s="25" t="n"/>
      <c r="E38" s="66" t="n"/>
      <c r="F38" s="66" t="n"/>
      <c r="G38" s="74" t="n"/>
      <c r="H38" s="69" t="n"/>
      <c r="I38" s="70" t="n"/>
      <c r="J38" s="70" t="n"/>
      <c r="K38" s="69" t="n"/>
      <c r="L38" s="75" t="n"/>
      <c r="M38" s="71" t="n"/>
      <c r="N38" s="72" t="n"/>
      <c r="O38" s="72" t="n"/>
      <c r="P38" s="72" t="n"/>
      <c r="Q38" s="72" t="n"/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74" t="n"/>
      <c r="H39" s="69" t="n"/>
      <c r="I39" s="70" t="n"/>
      <c r="J39" s="70" t="n"/>
      <c r="K39" s="69" t="n"/>
      <c r="L39" s="75" t="n"/>
      <c r="M39" s="71" t="n"/>
      <c r="N39" s="72" t="n"/>
      <c r="O39" s="72" t="n"/>
      <c r="P39" s="72" t="n"/>
      <c r="Q39" s="72" t="n"/>
      <c r="R39" s="14" t="n"/>
    </row>
    <row r="40" ht="16" customHeight="1">
      <c r="A40" s="76" t="inlineStr">
        <is>
          <t>Total</t>
        </is>
      </c>
      <c r="B40" s="77" t="n"/>
      <c r="C40" s="77" t="n"/>
      <c r="D40" s="77" t="n"/>
      <c r="E40" s="77" t="n"/>
      <c r="F40" s="78" t="n"/>
      <c r="G40" s="79">
        <f>SUM(G37:G39)</f>
        <v/>
      </c>
      <c r="H40" s="80">
        <f>SUM(H37:H39)</f>
        <v/>
      </c>
      <c r="I40" s="81" t="n"/>
      <c r="J40" s="82">
        <f>SUM(J37:J39)</f>
        <v/>
      </c>
      <c r="K40" s="83">
        <f>SUM(K37:K39)</f>
        <v/>
      </c>
      <c r="L40" s="84" t="n"/>
      <c r="M40" s="85" t="n"/>
      <c r="N40" s="85" t="n"/>
      <c r="O40" s="85" t="n"/>
      <c r="P40" s="85" t="n"/>
      <c r="Q40" s="85" t="n"/>
      <c r="R40" s="14" t="n"/>
    </row>
    <row r="41" ht="15" customHeight="1">
      <c r="A41" s="38" t="n"/>
      <c r="B41" s="38" t="n"/>
      <c r="C41" s="92" t="n"/>
      <c r="D41" s="92" t="n"/>
      <c r="E41" s="92" t="n"/>
      <c r="F41" s="92" t="n"/>
      <c r="G41" s="93" t="n"/>
      <c r="H41" s="94" t="n"/>
      <c r="I41" s="95" t="n"/>
      <c r="J41" s="95" t="n"/>
      <c r="K41" s="94" t="n"/>
      <c r="L41" s="92" t="n"/>
      <c r="M41" s="92" t="n"/>
      <c r="N41" s="92" t="n"/>
      <c r="O41" s="92" t="n"/>
      <c r="P41" s="92" t="n"/>
      <c r="Q41" s="92" t="n"/>
      <c r="R41" s="14" t="n"/>
    </row>
    <row r="42" ht="15" customHeight="1">
      <c r="A42" s="56" t="inlineStr">
        <is>
          <t>Top Flavor</t>
        </is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7" t="n"/>
      <c r="R42" s="14" t="n"/>
    </row>
    <row r="43" ht="15" customHeight="1">
      <c r="A43" s="57" t="inlineStr">
        <is>
          <t>Top Flavor NAV Item Code</t>
        </is>
      </c>
      <c r="B43" s="36" t="n"/>
      <c r="C43" s="36" t="n"/>
      <c r="D43" s="37" t="n"/>
      <c r="E43" s="96" t="inlineStr">
        <is>
          <t>GEN-TF-00000</t>
        </is>
      </c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7" t="n"/>
      <c r="R43" s="14" t="n"/>
    </row>
    <row r="44" ht="14.5" customHeight="1">
      <c r="A44" s="57" t="inlineStr">
        <is>
          <t>Top Flavor Item Description</t>
        </is>
      </c>
      <c r="B44" s="36" t="n"/>
      <c r="C44" s="36" t="n"/>
      <c r="D44" s="37" t="n"/>
      <c r="E44" s="97" t="inlineStr">
        <is>
          <t>TF-GA-09</t>
        </is>
      </c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7" t="n"/>
      <c r="R44" s="14" t="n"/>
    </row>
    <row r="45" ht="15" customHeight="1">
      <c r="A45" s="57" t="inlineStr">
        <is>
          <t>Blend Ratio</t>
        </is>
      </c>
      <c r="B45" s="36" t="n"/>
      <c r="C45" s="36" t="n"/>
      <c r="D45" s="37" t="n"/>
      <c r="E45" s="59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7" t="n"/>
      <c r="R45" s="14" t="n"/>
    </row>
    <row r="46" ht="15" customHeight="1">
      <c r="A46" s="57" t="inlineStr">
        <is>
          <t>TF Application (%)</t>
        </is>
      </c>
      <c r="B46" s="36" t="n"/>
      <c r="C46" s="36" t="n"/>
      <c r="D46" s="37" t="n"/>
      <c r="E46" s="98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62" t="inlineStr">
        <is>
          <t>No</t>
        </is>
      </c>
      <c r="B47" s="62" t="inlineStr">
        <is>
          <t>Material NAV Item
Code</t>
        </is>
      </c>
      <c r="C47" s="62" t="inlineStr">
        <is>
          <t>Material Name</t>
        </is>
      </c>
      <c r="D47" s="25" t="n"/>
      <c r="E47" s="62" t="inlineStr">
        <is>
          <t>Physical State</t>
        </is>
      </c>
      <c r="F47" s="62" t="inlineStr">
        <is>
          <t>CAS Number</t>
        </is>
      </c>
      <c r="G47" s="63" t="inlineStr">
        <is>
          <t>Ratio
(%)</t>
        </is>
      </c>
      <c r="H47" s="64" t="inlineStr">
        <is>
          <t>Dosage
(mg/stick)</t>
        </is>
      </c>
      <c r="I47" s="65" t="inlineStr">
        <is>
          <t>Material
Unit Price
(USD / KG)</t>
        </is>
      </c>
      <c r="J47" s="65" t="inlineStr">
        <is>
          <t>Formulation
Price 
(USD / KG)</t>
        </is>
      </c>
      <c r="K47" s="64" t="inlineStr">
        <is>
          <t>Dosage
(KG / MC)</t>
        </is>
      </c>
      <c r="L47" s="62" t="inlineStr">
        <is>
          <t>Density</t>
        </is>
      </c>
      <c r="M47" s="62" t="inlineStr">
        <is>
          <t>Addition
Sequence</t>
        </is>
      </c>
      <c r="N47" s="62" t="inlineStr">
        <is>
          <t>Temperature</t>
        </is>
      </c>
      <c r="O47" s="62" t="inlineStr">
        <is>
          <t>Agitation
Rate</t>
        </is>
      </c>
      <c r="P47" s="62" t="inlineStr">
        <is>
          <t>Mixing
Duration</t>
        </is>
      </c>
      <c r="Q47" s="62" t="inlineStr">
        <is>
          <t>Work Instruction</t>
        </is>
      </c>
      <c r="R47" s="14" t="n"/>
    </row>
    <row r="48" ht="15" customHeight="1">
      <c r="A48" s="66" t="n"/>
      <c r="B48" s="66" t="n"/>
      <c r="C48" s="66" t="n"/>
      <c r="D48" s="66" t="n"/>
      <c r="E48" s="66" t="n"/>
      <c r="F48" s="66" t="n"/>
      <c r="G48" s="74" t="n"/>
      <c r="H48" s="69" t="n"/>
      <c r="I48" s="91" t="n"/>
      <c r="J48" s="91" t="n"/>
      <c r="K48" s="69" t="n"/>
      <c r="L48" s="66" t="n"/>
      <c r="M48" s="66" t="n"/>
      <c r="N48" s="66" t="n"/>
      <c r="O48" s="66" t="n"/>
      <c r="P48" s="66" t="n"/>
      <c r="Q48" s="66" t="n"/>
      <c r="R48" s="14" t="n"/>
    </row>
    <row r="49" ht="14.75" customHeight="1">
      <c r="A49" s="66" t="n"/>
      <c r="B49" s="66" t="n"/>
      <c r="C49" s="66" t="n"/>
      <c r="D49" s="66" t="n"/>
      <c r="E49" s="66" t="n"/>
      <c r="F49" s="66" t="n"/>
      <c r="G49" s="74" t="n"/>
      <c r="H49" s="69" t="n"/>
      <c r="I49" s="91" t="n"/>
      <c r="J49" s="91" t="n"/>
      <c r="K49" s="69" t="n"/>
      <c r="L49" s="66" t="n"/>
      <c r="M49" s="66" t="n"/>
      <c r="N49" s="66" t="n"/>
      <c r="O49" s="66" t="n"/>
      <c r="P49" s="66" t="n"/>
      <c r="Q49" s="66" t="n"/>
      <c r="R49" s="14" t="n"/>
    </row>
    <row r="50" ht="14.75" customHeight="1">
      <c r="A50" s="66" t="n"/>
      <c r="B50" s="66" t="n"/>
      <c r="C50" s="66" t="n"/>
      <c r="D50" s="66" t="n"/>
      <c r="E50" s="66" t="n"/>
      <c r="F50" s="66" t="n"/>
      <c r="G50" s="74" t="n"/>
      <c r="H50" s="69" t="n"/>
      <c r="I50" s="91" t="n"/>
      <c r="J50" s="91" t="n"/>
      <c r="K50" s="69" t="n"/>
      <c r="L50" s="66" t="n"/>
      <c r="M50" s="66" t="n"/>
      <c r="N50" s="66" t="n"/>
      <c r="O50" s="66" t="n"/>
      <c r="P50" s="66" t="n"/>
      <c r="Q50" s="66" t="n"/>
      <c r="R50" s="14" t="n"/>
    </row>
    <row r="51" ht="48" customHeight="1">
      <c r="A51" s="76" t="inlineStr">
        <is>
          <t>Total</t>
        </is>
      </c>
      <c r="B51" s="77" t="n"/>
      <c r="C51" s="77" t="n"/>
      <c r="D51" s="77" t="n"/>
      <c r="E51" s="77" t="n"/>
      <c r="F51" s="78" t="n"/>
      <c r="G51" s="99">
        <f>SUM(G48:G50)</f>
        <v/>
      </c>
      <c r="H51" s="80">
        <f>SUM(H48:H50)</f>
        <v/>
      </c>
      <c r="I51" s="100" t="n"/>
      <c r="J51" s="101">
        <f>SUM(J48:J50)</f>
        <v/>
      </c>
      <c r="K51" s="83">
        <f>SUM(K48:K50)</f>
        <v/>
      </c>
      <c r="L51" s="84" t="n"/>
      <c r="M51" s="85" t="n"/>
      <c r="N51" s="85" t="n"/>
      <c r="O51" s="85" t="n"/>
      <c r="P51" s="85" t="n"/>
      <c r="Q51" s="85" t="n"/>
      <c r="R51" s="14" t="n"/>
    </row>
    <row r="52" ht="14.5" customHeight="1">
      <c r="A52" s="102" t="n"/>
      <c r="B52" s="103" t="n"/>
      <c r="C52" s="103" t="n"/>
      <c r="D52" s="103" t="n"/>
      <c r="E52" s="103" t="n"/>
      <c r="F52" s="103" t="n"/>
      <c r="G52" s="104" t="n"/>
      <c r="H52" s="105" t="n"/>
      <c r="I52" s="106" t="n"/>
      <c r="J52" s="106" t="n"/>
      <c r="K52" s="105" t="n"/>
      <c r="L52" s="103" t="n"/>
      <c r="M52" s="103" t="n"/>
      <c r="N52" s="103" t="n"/>
      <c r="O52" s="103" t="n"/>
      <c r="P52" s="103" t="n"/>
      <c r="Q52" s="103" t="n"/>
      <c r="R52" s="14" t="n"/>
    </row>
    <row r="53" ht="14.5" customHeight="1">
      <c r="A53" s="107" t="inlineStr">
        <is>
          <t>No</t>
        </is>
      </c>
      <c r="B53" s="107" t="inlineStr">
        <is>
          <t>Casing &amp; Top Flavor
NAV Item Code</t>
        </is>
      </c>
      <c r="C53" s="107" t="inlineStr">
        <is>
          <t>Application Amount
(mg/stick)</t>
        </is>
      </c>
      <c r="D53" s="107" t="inlineStr">
        <is>
          <t>Blend Ratio</t>
        </is>
      </c>
      <c r="E53" s="108" t="n"/>
      <c r="F53" s="108" t="n"/>
      <c r="G53" s="109" t="inlineStr">
        <is>
          <t>Price
(USD/KG)</t>
        </is>
      </c>
      <c r="H53" s="109" t="inlineStr">
        <is>
          <t>1,000 Sticks Price
(USD)</t>
        </is>
      </c>
      <c r="I53" s="110" t="n"/>
      <c r="J53" s="110" t="n"/>
      <c r="K53" s="111" t="n"/>
      <c r="L53" s="108" t="n"/>
      <c r="M53" s="108" t="n"/>
      <c r="N53" s="108" t="n"/>
      <c r="O53" s="108" t="n"/>
      <c r="P53" s="108" t="n"/>
      <c r="Q53" s="38" t="n"/>
      <c r="R53" s="14" t="n"/>
    </row>
    <row r="54" ht="14.5" customHeight="1">
      <c r="A54" s="112" t="n">
        <v>1</v>
      </c>
      <c r="B54" s="113">
        <f>E22</f>
        <v/>
      </c>
      <c r="C54" s="114">
        <f>H29</f>
        <v/>
      </c>
      <c r="D54" s="115">
        <f>E23</f>
        <v/>
      </c>
      <c r="E54" s="66" t="n"/>
      <c r="F54" s="66" t="n"/>
      <c r="G54" s="116">
        <f>J29</f>
        <v/>
      </c>
      <c r="H54" s="116">
        <f>G54*(C54/1000000)*1000</f>
        <v/>
      </c>
      <c r="I54" s="110" t="n"/>
      <c r="J54" s="110" t="n"/>
      <c r="K54" s="117" t="n"/>
      <c r="L54" s="108" t="n"/>
      <c r="M54" s="108" t="n"/>
      <c r="N54" s="108" t="n"/>
      <c r="O54" s="108" t="n"/>
      <c r="P54" s="108" t="n"/>
      <c r="Q54" s="38" t="n"/>
      <c r="R54" s="14" t="n"/>
    </row>
    <row r="55" ht="32.75" customHeight="1">
      <c r="A55" s="112" t="n">
        <v>2</v>
      </c>
      <c r="B55" s="113">
        <f>E33</f>
        <v/>
      </c>
      <c r="C55" s="114">
        <f>H40</f>
        <v/>
      </c>
      <c r="D55" s="118">
        <f>E34</f>
        <v/>
      </c>
      <c r="E55" s="119" t="n"/>
      <c r="F55" s="108" t="n"/>
      <c r="G55" s="116">
        <f>J40</f>
        <v/>
      </c>
      <c r="H55" s="116">
        <f>G55*(C55/1000000)*1000</f>
        <v/>
      </c>
      <c r="I55" s="110" t="n"/>
      <c r="J55" s="110" t="n"/>
      <c r="K55" s="117" t="n"/>
      <c r="L55" s="108" t="n"/>
      <c r="M55" s="108" t="n"/>
      <c r="N55" s="108" t="n"/>
      <c r="O55" s="108" t="n"/>
      <c r="P55" s="108" t="n"/>
      <c r="Q55" s="38" t="n"/>
      <c r="R55" s="14" t="n"/>
    </row>
    <row r="56" ht="48" customHeight="1">
      <c r="A56" s="112" t="n">
        <v>3</v>
      </c>
      <c r="B56" s="113">
        <f>E44</f>
        <v/>
      </c>
      <c r="C56" s="114">
        <f>H51</f>
        <v/>
      </c>
      <c r="D56" s="118">
        <f>E45</f>
        <v/>
      </c>
      <c r="E56" s="119" t="n"/>
      <c r="F56" s="108" t="n"/>
      <c r="G56" s="116">
        <f>J51</f>
        <v/>
      </c>
      <c r="H56" s="116">
        <f>G56*(C56/1000000)*1000</f>
        <v/>
      </c>
      <c r="I56" s="110" t="n"/>
      <c r="J56" s="110" t="n"/>
      <c r="K56" s="117" t="n"/>
      <c r="L56" s="108" t="n"/>
      <c r="M56" s="108" t="n"/>
      <c r="N56" s="108" t="n"/>
      <c r="O56" s="108" t="n"/>
      <c r="P56" s="108" t="n"/>
      <c r="Q56" s="38" t="n"/>
      <c r="R56" s="14" t="n"/>
    </row>
    <row r="57" ht="33" customHeight="1">
      <c r="A57" s="108" t="n"/>
      <c r="B57" s="120" t="n"/>
      <c r="C57" s="108" t="n"/>
      <c r="D57" s="121" t="n"/>
      <c r="E57" s="108" t="n"/>
      <c r="F57" s="108" t="n"/>
      <c r="G57" s="122" t="inlineStr">
        <is>
          <t>Total Price
(USD/1,000 Sticks)</t>
        </is>
      </c>
      <c r="H57" s="123">
        <f>SUM(H54:H56)</f>
        <v/>
      </c>
      <c r="I57" s="110" t="n"/>
      <c r="J57" s="110" t="n"/>
      <c r="K57" s="111" t="n"/>
      <c r="L57" s="108" t="n"/>
      <c r="M57" s="108" t="n"/>
      <c r="N57" s="108" t="n"/>
      <c r="O57" s="108" t="n"/>
      <c r="P57" s="108" t="n"/>
      <c r="Q57" s="38" t="n"/>
      <c r="R57" s="14" t="n"/>
    </row>
    <row r="58" ht="36.75" customHeight="1">
      <c r="A58" s="108" t="n"/>
      <c r="B58" s="108" t="n"/>
      <c r="C58" s="108" t="n"/>
      <c r="D58" s="108" t="n"/>
      <c r="E58" s="108" t="n"/>
      <c r="F58" s="108" t="n"/>
      <c r="G58" s="124" t="n"/>
      <c r="H58" s="111" t="n"/>
      <c r="I58" s="125" t="n"/>
      <c r="J58" s="125" t="n"/>
      <c r="K58" s="111" t="n"/>
      <c r="L58" s="108" t="n"/>
      <c r="M58" s="108" t="n"/>
      <c r="N58" s="108" t="n"/>
      <c r="O58" s="108" t="n"/>
      <c r="P58" s="108" t="n"/>
      <c r="Q58" s="108" t="n"/>
      <c r="R58" s="14" t="n"/>
    </row>
    <row r="59" ht="28.25" customHeight="1">
      <c r="A59" s="108" t="n"/>
      <c r="B59" s="108" t="n"/>
      <c r="C59" s="108" t="n"/>
      <c r="D59" s="108" t="n"/>
      <c r="E59" s="108" t="n"/>
      <c r="F59" s="108" t="n"/>
      <c r="G59" s="124" t="n"/>
      <c r="H59" s="111" t="n"/>
      <c r="I59" s="125" t="n"/>
      <c r="J59" s="125" t="n"/>
      <c r="K59" s="111" t="n"/>
      <c r="L59" s="108" t="n"/>
      <c r="M59" s="108" t="n"/>
      <c r="N59" s="108" t="n"/>
      <c r="O59" s="108" t="n"/>
      <c r="P59" s="108" t="n"/>
      <c r="Q59" s="108" t="n"/>
      <c r="R59" s="14" t="n"/>
    </row>
    <row r="60" ht="28.25" customHeight="1">
      <c r="A60" s="126" t="inlineStr">
        <is>
          <t>Prepared By</t>
        </is>
      </c>
      <c r="B60" s="24" t="n"/>
      <c r="C60" s="24" t="n"/>
      <c r="D60" s="24" t="n"/>
      <c r="E60" s="24" t="n"/>
      <c r="F60" s="127" t="inlineStr">
        <is>
          <t>Reviewed By</t>
        </is>
      </c>
      <c r="G60" s="24" t="n"/>
      <c r="H60" s="24" t="n"/>
      <c r="I60" s="24" t="n"/>
      <c r="J60" s="24" t="n"/>
      <c r="K60" s="24" t="n"/>
      <c r="L60" s="25" t="n"/>
      <c r="M60" s="127" t="inlineStr">
        <is>
          <t>Appoved By</t>
        </is>
      </c>
      <c r="N60" s="24" t="n"/>
      <c r="O60" s="24" t="n"/>
      <c r="P60" s="24" t="n"/>
      <c r="Q60" s="25" t="n"/>
      <c r="R60" s="14" t="n"/>
    </row>
    <row r="61" ht="15" customHeight="1">
      <c r="A61" s="128" t="inlineStr">
        <is>
          <t>Position : Flavourist</t>
        </is>
      </c>
      <c r="B61" s="11" t="n"/>
      <c r="C61" s="11" t="n"/>
      <c r="D61" s="11" t="n"/>
      <c r="E61" s="9" t="n"/>
      <c r="F61" s="128" t="inlineStr">
        <is>
          <t>Position : Senior Manager - Flavourist</t>
        </is>
      </c>
      <c r="G61" s="11" t="n"/>
      <c r="H61" s="11" t="n"/>
      <c r="I61" s="11" t="n"/>
      <c r="J61" s="11" t="n"/>
      <c r="K61" s="11" t="n"/>
      <c r="L61" s="9" t="n"/>
      <c r="M61" s="128" t="inlineStr">
        <is>
          <t>Position : Head, Flavour PDI</t>
        </is>
      </c>
      <c r="N61" s="11" t="n"/>
      <c r="O61" s="11" t="n"/>
      <c r="P61" s="11" t="n"/>
      <c r="Q61" s="9" t="n"/>
      <c r="R61" s="14" t="n"/>
    </row>
    <row r="62" ht="15" customHeight="1">
      <c r="A62" s="129" t="inlineStr">
        <is>
          <t>Lyla Isro</t>
        </is>
      </c>
      <c r="B62" s="17" t="n"/>
      <c r="C62" s="17" t="n"/>
      <c r="D62" s="17" t="n"/>
      <c r="E62" s="16" t="n"/>
      <c r="F62" s="129" t="n"/>
      <c r="G62" s="17" t="n"/>
      <c r="H62" s="17" t="n"/>
      <c r="I62" s="17" t="n"/>
      <c r="J62" s="17" t="n"/>
      <c r="K62" s="17" t="n"/>
      <c r="L62" s="16" t="n"/>
      <c r="M62" s="129" t="n"/>
      <c r="N62" s="17" t="n"/>
      <c r="O62" s="17" t="n"/>
      <c r="P62" s="17" t="n"/>
      <c r="Q62" s="16" t="n"/>
      <c r="R62" s="14" t="n"/>
    </row>
    <row r="63" ht="15.75" customHeight="1">
      <c r="A63" s="130" t="n">
        <v>46210</v>
      </c>
      <c r="B63" s="21" t="n"/>
      <c r="C63" s="21" t="n"/>
      <c r="D63" s="21" t="n"/>
      <c r="E63" s="20" t="n"/>
      <c r="F63" s="131" t="n"/>
      <c r="G63" s="21" t="n"/>
      <c r="H63" s="21" t="n"/>
      <c r="I63" s="21" t="n"/>
      <c r="J63" s="21" t="n"/>
      <c r="K63" s="21" t="n"/>
      <c r="L63" s="20" t="n"/>
      <c r="M63" s="131" t="n"/>
      <c r="N63" s="21" t="n"/>
      <c r="O63" s="21" t="n"/>
      <c r="P63" s="21" t="n"/>
      <c r="Q63" s="20" t="n"/>
      <c r="R63" s="14" t="n"/>
    </row>
    <row r="64" ht="15" customHeight="1">
      <c r="A64" s="132" t="inlineStr">
        <is>
          <t xml:space="preserve">Signature : </t>
        </is>
      </c>
      <c r="B64" s="11" t="n"/>
      <c r="C64" s="11" t="n"/>
      <c r="D64" s="11" t="n"/>
      <c r="E64" s="133" t="n"/>
      <c r="F64" s="134" t="inlineStr">
        <is>
          <t>Signature:</t>
        </is>
      </c>
      <c r="G64" s="135" t="n"/>
      <c r="H64" s="94" t="n"/>
      <c r="I64" s="95" t="n"/>
      <c r="J64" s="136" t="n"/>
      <c r="K64" s="137" t="n"/>
      <c r="L64" s="138" t="n"/>
      <c r="M64" s="133" t="n"/>
      <c r="N64" s="133" t="n"/>
      <c r="O64" s="133" t="n"/>
      <c r="P64" s="133" t="n"/>
      <c r="Q64" s="138" t="n"/>
      <c r="R64" s="14" t="n"/>
    </row>
    <row r="65" ht="15" customHeight="1">
      <c r="A65" s="139" t="n"/>
      <c r="B65" s="120" t="n"/>
      <c r="C65" s="120" t="n"/>
      <c r="D65" s="120" t="n"/>
      <c r="E65" s="120" t="n"/>
      <c r="F65" s="139" t="n"/>
      <c r="G65" s="140" t="n"/>
      <c r="H65" s="141" t="n"/>
      <c r="I65" s="142" t="n"/>
      <c r="J65" s="142" t="n"/>
      <c r="K65" s="141" t="n"/>
      <c r="L65" s="143" t="n"/>
      <c r="M65" s="120" t="n"/>
      <c r="N65" s="120" t="n"/>
      <c r="O65" s="120" t="n"/>
      <c r="P65" s="120" t="n"/>
      <c r="Q65" s="143" t="n"/>
      <c r="R65" s="14" t="n"/>
    </row>
    <row r="66" ht="14.75" customHeight="1">
      <c r="A66" s="139" t="n"/>
      <c r="B66" s="120" t="n"/>
      <c r="C66" s="120" t="n"/>
      <c r="D66" s="120" t="n"/>
      <c r="E66" s="120" t="n"/>
      <c r="F66" s="139" t="n"/>
      <c r="G66" s="140" t="n"/>
      <c r="H66" s="141" t="n"/>
      <c r="I66" s="142" t="n"/>
      <c r="J66" s="142" t="n"/>
      <c r="K66" s="141" t="n"/>
      <c r="L66" s="143" t="n"/>
      <c r="M66" s="120" t="n"/>
      <c r="N66" s="120" t="n"/>
      <c r="O66" s="120" t="n"/>
      <c r="P66" s="120" t="n"/>
      <c r="Q66" s="143" t="n"/>
      <c r="R66" s="14" t="n"/>
    </row>
    <row r="67" ht="15" customHeight="1">
      <c r="A67" s="144" t="n"/>
      <c r="B67" s="145" t="n"/>
      <c r="C67" s="145" t="n"/>
      <c r="D67" s="145" t="n"/>
      <c r="E67" s="145" t="n"/>
      <c r="F67" s="144" t="n"/>
      <c r="G67" s="146" t="n"/>
      <c r="H67" s="147" t="n"/>
      <c r="I67" s="148" t="n"/>
      <c r="J67" s="148" t="n"/>
      <c r="K67" s="147" t="n"/>
      <c r="L67" s="149" t="n"/>
      <c r="M67" s="145" t="n"/>
      <c r="N67" s="145" t="n"/>
      <c r="O67" s="145" t="n"/>
      <c r="P67" s="145" t="n"/>
      <c r="Q67" s="149" t="n"/>
      <c r="R67" s="14" t="n"/>
    </row>
    <row r="68" ht="14.5" customHeight="1">
      <c r="A68" s="120" t="n"/>
      <c r="B68" s="120" t="n"/>
      <c r="C68" s="120" t="n"/>
      <c r="D68" s="120" t="n"/>
      <c r="E68" s="120" t="n"/>
      <c r="F68" s="120" t="n"/>
      <c r="G68" s="140" t="n"/>
      <c r="H68" s="141" t="n"/>
      <c r="I68" s="142" t="n"/>
      <c r="J68" s="142" t="n"/>
      <c r="K68" s="141" t="n"/>
      <c r="L68" s="120" t="n"/>
      <c r="M68" s="120" t="n"/>
      <c r="N68" s="120" t="n"/>
      <c r="O68" s="120" t="n"/>
      <c r="P68" s="120" t="n"/>
      <c r="Q68" s="120" t="n"/>
      <c r="R68" s="14" t="n"/>
    </row>
    <row r="69" ht="14.5" customHeight="1">
      <c r="A69" s="120" t="n"/>
      <c r="B69" s="120" t="n"/>
      <c r="C69" s="120" t="n"/>
      <c r="D69" s="120" t="n"/>
      <c r="E69" s="120" t="n"/>
      <c r="F69" s="120" t="n"/>
      <c r="G69" s="140" t="n"/>
      <c r="H69" s="141" t="n"/>
      <c r="I69" s="142" t="n"/>
      <c r="J69" s="142" t="n"/>
      <c r="K69" s="141" t="n"/>
      <c r="L69" s="120" t="n"/>
      <c r="M69" s="120" t="n"/>
      <c r="N69" s="120" t="n"/>
      <c r="O69" s="120" t="n"/>
      <c r="P69" s="120" t="n"/>
      <c r="Q69" s="120" t="n"/>
      <c r="R69" s="14" t="n"/>
    </row>
    <row r="70" ht="14.5" customHeight="1">
      <c r="A70" s="150" t="inlineStr">
        <is>
          <t>Casing Pre-Mix Formulation</t>
        </is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7" t="n"/>
      <c r="R70" s="14" t="n"/>
    </row>
    <row r="71" ht="14.5" customHeight="1">
      <c r="A71" s="57" t="inlineStr">
        <is>
          <t>Casing Pre-Mix Formulation NAV Item Code</t>
        </is>
      </c>
      <c r="B71" s="36" t="n"/>
      <c r="C71" s="36" t="n"/>
      <c r="D71" s="37" t="n"/>
      <c r="E71" s="151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7" t="n"/>
      <c r="R71" s="14" t="n"/>
    </row>
    <row r="72" ht="14.5" customHeight="1">
      <c r="A72" s="57" t="inlineStr">
        <is>
          <t>Casing Pre-Mix Formulation NAV Item Description</t>
        </is>
      </c>
      <c r="B72" s="36" t="n"/>
      <c r="C72" s="36" t="n"/>
      <c r="D72" s="37" t="n"/>
      <c r="E72" s="151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7" t="n"/>
      <c r="R72" s="14" t="n"/>
    </row>
    <row r="73" ht="15" customHeight="1">
      <c r="A73" s="62" t="inlineStr">
        <is>
          <t>No</t>
        </is>
      </c>
      <c r="B73" s="62" t="inlineStr">
        <is>
          <t>Material NAV Item
Code</t>
        </is>
      </c>
      <c r="C73" s="62" t="inlineStr">
        <is>
          <t>Material Name</t>
        </is>
      </c>
      <c r="D73" s="25" t="n"/>
      <c r="E73" s="152" t="inlineStr">
        <is>
          <t>Physical State</t>
        </is>
      </c>
      <c r="F73" s="62" t="inlineStr">
        <is>
          <t>CAS Number</t>
        </is>
      </c>
      <c r="G73" s="153" t="inlineStr">
        <is>
          <t>Ratio
(%)</t>
        </is>
      </c>
      <c r="H73" s="64" t="inlineStr">
        <is>
          <t>Dosage
(mg/stick)</t>
        </is>
      </c>
      <c r="I73" s="65" t="inlineStr">
        <is>
          <t>Material
Price
(USD / KG)</t>
        </is>
      </c>
      <c r="J73" s="65" t="inlineStr">
        <is>
          <t>Formulation
Price 
(USD / KG)</t>
        </is>
      </c>
      <c r="K73" s="64" t="inlineStr">
        <is>
          <t>Dosage
(KG / MC)</t>
        </is>
      </c>
      <c r="L73" s="62" t="inlineStr">
        <is>
          <t>Density</t>
        </is>
      </c>
      <c r="M73" s="62" t="inlineStr">
        <is>
          <t>Addition
Sequence</t>
        </is>
      </c>
      <c r="N73" s="62" t="inlineStr">
        <is>
          <t>Temperature</t>
        </is>
      </c>
      <c r="O73" s="62" t="inlineStr">
        <is>
          <t>Agitation
Rate</t>
        </is>
      </c>
      <c r="P73" s="62" t="inlineStr">
        <is>
          <t>Mixing
Duration</t>
        </is>
      </c>
      <c r="Q73" s="62" t="inlineStr">
        <is>
          <t>Work Instruction</t>
        </is>
      </c>
      <c r="R73" s="14" t="n"/>
    </row>
    <row r="74" ht="15" customHeight="1">
      <c r="A74" s="66" t="n"/>
      <c r="B74" s="66" t="n"/>
      <c r="C74" s="66" t="n"/>
      <c r="D74" s="66" t="n"/>
      <c r="E74" s="66" t="n"/>
      <c r="F74" s="66" t="n"/>
      <c r="G74" s="74" t="n"/>
      <c r="H74" s="69" t="n"/>
      <c r="I74" s="91" t="n"/>
      <c r="J74" s="91" t="n"/>
      <c r="K74" s="69" t="n"/>
      <c r="L74" s="66" t="n"/>
      <c r="M74" s="66" t="n"/>
      <c r="N74" s="66" t="n"/>
      <c r="O74" s="66" t="n"/>
      <c r="P74" s="66" t="n"/>
      <c r="Q74" s="66" t="n"/>
      <c r="R74" s="14" t="n"/>
    </row>
    <row r="75" ht="15" customHeight="1">
      <c r="A75" s="66" t="n"/>
      <c r="B75" s="66" t="n"/>
      <c r="C75" s="66" t="n"/>
      <c r="D75" s="66" t="n"/>
      <c r="E75" s="66" t="n"/>
      <c r="F75" s="66" t="n"/>
      <c r="G75" s="74" t="n"/>
      <c r="H75" s="69" t="n"/>
      <c r="I75" s="91" t="n"/>
      <c r="J75" s="91" t="n"/>
      <c r="K75" s="69" t="n"/>
      <c r="L75" s="66" t="n"/>
      <c r="M75" s="66" t="n"/>
      <c r="N75" s="66" t="n"/>
      <c r="O75" s="66" t="n"/>
      <c r="P75" s="66" t="n"/>
      <c r="Q75" s="66" t="n"/>
      <c r="R75" s="14" t="n"/>
    </row>
    <row r="76" ht="54" customHeight="1">
      <c r="A76" s="66" t="n"/>
      <c r="B76" s="66" t="n"/>
      <c r="C76" s="67" t="n"/>
      <c r="D76" s="25" t="n"/>
      <c r="E76" s="66" t="n"/>
      <c r="F76" s="66" t="n"/>
      <c r="G76" s="74" t="n"/>
      <c r="H76" s="69" t="n"/>
      <c r="I76" s="70" t="n"/>
      <c r="J76" s="70" t="n"/>
      <c r="K76" s="69" t="n"/>
      <c r="L76" s="75" t="n"/>
      <c r="M76" s="71" t="n"/>
      <c r="N76" s="72" t="n"/>
      <c r="O76" s="72" t="n"/>
      <c r="P76" s="72" t="n"/>
      <c r="Q76" s="72" t="n"/>
      <c r="R76" s="14" t="n"/>
    </row>
    <row r="77" ht="14.5" customHeight="1">
      <c r="A77" s="76" t="inlineStr">
        <is>
          <t>Total</t>
        </is>
      </c>
      <c r="B77" s="77" t="n"/>
      <c r="C77" s="77" t="n"/>
      <c r="D77" s="77" t="n"/>
      <c r="E77" s="77" t="n"/>
      <c r="F77" s="78" t="n"/>
      <c r="G77" s="154">
        <f>SUM(G74:G76)</f>
        <v/>
      </c>
      <c r="H77" s="155">
        <f>SUM(H74:H76)</f>
        <v/>
      </c>
      <c r="I77" s="156" t="n"/>
      <c r="J77" s="157">
        <f>SUM(J74:J76)</f>
        <v/>
      </c>
      <c r="K77" s="158">
        <f>SUM(K74:K76)</f>
        <v/>
      </c>
      <c r="L77" s="76" t="n"/>
      <c r="M77" s="159" t="n"/>
      <c r="N77" s="160" t="n"/>
      <c r="O77" s="160" t="n"/>
      <c r="P77" s="160" t="n"/>
      <c r="Q77" s="161" t="n"/>
      <c r="R77" s="14" t="n"/>
    </row>
    <row r="78">
      <c r="A78" s="108" t="n"/>
      <c r="B78" s="108" t="n"/>
      <c r="C78" s="108" t="n"/>
      <c r="D78" s="108" t="n"/>
      <c r="E78" s="108" t="n"/>
      <c r="F78" s="108" t="n"/>
      <c r="G78" s="124" t="n"/>
      <c r="H78" s="111" t="n"/>
      <c r="I78" s="125" t="n"/>
      <c r="J78" s="125" t="n"/>
      <c r="K78" s="111" t="n"/>
      <c r="L78" s="108" t="n"/>
      <c r="M78" s="108" t="n"/>
      <c r="N78" s="108" t="n"/>
      <c r="O78" s="108" t="n"/>
      <c r="P78" s="108" t="n"/>
      <c r="Q78" s="108" t="n"/>
      <c r="R78" s="14" t="n"/>
    </row>
    <row r="79">
      <c r="A79" s="150" t="inlineStr">
        <is>
          <t>Flavor Pre-Mix Formulation</t>
        </is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7" t="n"/>
      <c r="R79" s="14" t="n"/>
    </row>
    <row r="80">
      <c r="A80" s="57" t="inlineStr">
        <is>
          <t>Flavor Pre-Mix Formulation NAV Item Code</t>
        </is>
      </c>
      <c r="B80" s="36" t="n"/>
      <c r="C80" s="36" t="n"/>
      <c r="D80" s="37" t="n"/>
      <c r="E80" s="151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7" t="n"/>
      <c r="R80" s="14" t="n"/>
    </row>
    <row r="81">
      <c r="A81" s="57" t="inlineStr">
        <is>
          <t>Flavor Pre-Mix Formulation NAV Item Description</t>
        </is>
      </c>
      <c r="B81" s="36" t="n"/>
      <c r="C81" s="36" t="n"/>
      <c r="D81" s="37" t="n"/>
      <c r="E81" s="151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7" t="n"/>
      <c r="R81" s="14" t="n"/>
    </row>
    <row r="82">
      <c r="A82" s="62" t="inlineStr">
        <is>
          <t>No</t>
        </is>
      </c>
      <c r="B82" s="62" t="inlineStr">
        <is>
          <t>Material NAV Item
Code</t>
        </is>
      </c>
      <c r="C82" s="62" t="inlineStr">
        <is>
          <t>Material Name</t>
        </is>
      </c>
      <c r="D82" s="25" t="n"/>
      <c r="E82" s="152" t="inlineStr">
        <is>
          <t>Physical State</t>
        </is>
      </c>
      <c r="F82" s="62" t="inlineStr">
        <is>
          <t>CAS Number</t>
        </is>
      </c>
      <c r="G82" s="63" t="inlineStr">
        <is>
          <t>Ratio
(%)</t>
        </is>
      </c>
      <c r="H82" s="64" t="inlineStr">
        <is>
          <t>Dosage
(mg/stick)</t>
        </is>
      </c>
      <c r="I82" s="65" t="inlineStr">
        <is>
          <t>Material
Price
(USD / KG)</t>
        </is>
      </c>
      <c r="J82" s="65" t="inlineStr">
        <is>
          <t>Formulation
Price 
(USD / KG)</t>
        </is>
      </c>
      <c r="K82" s="64" t="inlineStr">
        <is>
          <t>Dosage
(KG / MC)</t>
        </is>
      </c>
      <c r="L82" s="62" t="inlineStr">
        <is>
          <t>Density</t>
        </is>
      </c>
      <c r="M82" s="62" t="inlineStr">
        <is>
          <t>Addition
Sequence</t>
        </is>
      </c>
      <c r="N82" s="62" t="inlineStr">
        <is>
          <t>Temperature</t>
        </is>
      </c>
      <c r="O82" s="62" t="inlineStr">
        <is>
          <t>Agitation
Rate</t>
        </is>
      </c>
      <c r="P82" s="62" t="inlineStr">
        <is>
          <t>Mixing
Duration</t>
        </is>
      </c>
      <c r="Q82" s="62" t="inlineStr">
        <is>
          <t>Work Instruction</t>
        </is>
      </c>
      <c r="R82" s="14" t="n"/>
    </row>
    <row r="83">
      <c r="A83" s="66" t="n"/>
      <c r="B83" s="66" t="n"/>
      <c r="C83" s="33" t="n"/>
      <c r="D83" s="32" t="n"/>
      <c r="E83" s="66" t="n"/>
      <c r="F83" s="66" t="n"/>
      <c r="G83" s="74" t="n"/>
      <c r="H83" s="69" t="n"/>
      <c r="I83" s="70" t="n"/>
      <c r="J83" s="70" t="n"/>
      <c r="K83" s="69" t="n"/>
      <c r="L83" s="67" t="n"/>
      <c r="M83" s="66" t="n"/>
      <c r="N83" s="66" t="n"/>
      <c r="O83" s="66" t="n"/>
      <c r="P83" s="66" t="n"/>
      <c r="Q83" s="72" t="n"/>
      <c r="R83" s="14" t="n"/>
    </row>
    <row r="84">
      <c r="A84" s="66" t="n"/>
      <c r="B84" s="66" t="n"/>
      <c r="C84" s="33" t="n"/>
      <c r="D84" s="32" t="n"/>
      <c r="E84" s="66" t="n"/>
      <c r="F84" s="66" t="n"/>
      <c r="G84" s="74" t="n"/>
      <c r="H84" s="69" t="n"/>
      <c r="I84" s="70" t="n"/>
      <c r="J84" s="70" t="n"/>
      <c r="K84" s="69" t="n"/>
      <c r="L84" s="67" t="n"/>
      <c r="M84" s="162" t="n"/>
      <c r="N84" s="72" t="n"/>
      <c r="O84" s="163" t="n"/>
      <c r="P84" s="163" t="n"/>
      <c r="Q84" s="164" t="n"/>
      <c r="R84" s="14" t="n"/>
    </row>
    <row r="85">
      <c r="A85" s="66" t="n"/>
      <c r="B85" s="66" t="n"/>
      <c r="C85" s="33" t="n"/>
      <c r="D85" s="32" t="n"/>
      <c r="E85" s="66" t="n"/>
      <c r="F85" s="66" t="n"/>
      <c r="G85" s="74" t="n"/>
      <c r="H85" s="69" t="n"/>
      <c r="I85" s="70" t="n"/>
      <c r="J85" s="70" t="n"/>
      <c r="K85" s="69" t="n"/>
      <c r="L85" s="67" t="n"/>
      <c r="M85" s="163" t="n"/>
      <c r="N85" s="164" t="n"/>
      <c r="O85" s="163" t="n"/>
      <c r="P85" s="163" t="n"/>
      <c r="Q85" s="164" t="n"/>
      <c r="R85" s="14" t="n"/>
    </row>
    <row r="86">
      <c r="A86" s="76" t="inlineStr">
        <is>
          <t>Total</t>
        </is>
      </c>
      <c r="B86" s="77" t="n"/>
      <c r="C86" s="77" t="n"/>
      <c r="D86" s="77" t="n"/>
      <c r="E86" s="77" t="n"/>
      <c r="F86" s="78" t="n"/>
      <c r="G86" s="154">
        <f>SUM(G83:G85)</f>
        <v/>
      </c>
      <c r="H86" s="155">
        <f>SUM(H83:H85)</f>
        <v/>
      </c>
      <c r="I86" s="156" t="n"/>
      <c r="J86" s="157">
        <f>SUM(J83:J85)</f>
        <v/>
      </c>
      <c r="K86" s="158">
        <f>SUM(K83:K85)</f>
        <v/>
      </c>
      <c r="L86" s="76" t="n"/>
      <c r="M86" s="165" t="n"/>
      <c r="N86" s="165" t="n"/>
      <c r="O86" s="165" t="n"/>
      <c r="P86" s="166" t="n"/>
      <c r="Q86" s="166" t="n"/>
      <c r="R86" s="14" t="n"/>
    </row>
    <row r="87" ht="14.5" customHeight="1">
      <c r="A87" s="38" t="n"/>
      <c r="B87" s="38" t="n"/>
      <c r="C87" s="38" t="n"/>
      <c r="D87" s="108" t="n"/>
      <c r="E87" s="108" t="n"/>
      <c r="F87" s="108" t="n"/>
      <c r="G87" s="124" t="n"/>
      <c r="H87" s="111" t="n"/>
      <c r="I87" s="125" t="n"/>
      <c r="J87" s="125" t="n"/>
      <c r="K87" s="111" t="n"/>
      <c r="L87" s="108" t="n"/>
      <c r="M87" s="163" t="n"/>
      <c r="N87" s="163" t="n"/>
      <c r="O87" s="163" t="n"/>
      <c r="P87" s="164" t="n"/>
      <c r="Q87" s="164" t="n"/>
      <c r="R87" s="14" t="n"/>
    </row>
    <row r="88" ht="15" customHeight="1">
      <c r="A88" s="150" t="inlineStr">
        <is>
          <t>Flavor Pre-Mix Formulation</t>
        </is>
      </c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163" t="n"/>
      <c r="N88" s="163" t="n"/>
      <c r="O88" s="163" t="n"/>
      <c r="P88" s="164" t="n"/>
      <c r="Q88" s="164" t="n"/>
      <c r="R88" s="14" t="n"/>
    </row>
    <row r="89" ht="15" customHeight="1">
      <c r="A89" s="57" t="inlineStr">
        <is>
          <t>Flavor Pre-Mix Formulation NAV Item Code</t>
        </is>
      </c>
      <c r="B89" s="36" t="n"/>
      <c r="C89" s="36" t="n"/>
      <c r="D89" s="37" t="n"/>
      <c r="E89" s="151" t="n"/>
      <c r="F89" s="36" t="n"/>
      <c r="G89" s="36" t="n"/>
      <c r="H89" s="36" t="n"/>
      <c r="I89" s="36" t="n"/>
      <c r="J89" s="36" t="n"/>
      <c r="K89" s="36" t="n"/>
      <c r="L89" s="36" t="n"/>
      <c r="M89" s="163" t="n"/>
      <c r="N89" s="163" t="n"/>
      <c r="O89" s="163" t="n"/>
      <c r="P89" s="164" t="n"/>
      <c r="Q89" s="164" t="n"/>
      <c r="R89" s="14" t="n"/>
    </row>
    <row r="90" ht="15" customHeight="1">
      <c r="A90" s="57" t="inlineStr">
        <is>
          <t>Flavor Pre-Mix Formulation NAV Item Description</t>
        </is>
      </c>
      <c r="B90" s="36" t="n"/>
      <c r="C90" s="36" t="n"/>
      <c r="D90" s="37" t="n"/>
      <c r="E90" s="151" t="n"/>
      <c r="F90" s="36" t="n"/>
      <c r="G90" s="36" t="n"/>
      <c r="H90" s="36" t="n"/>
      <c r="I90" s="36" t="n"/>
      <c r="J90" s="36" t="n"/>
      <c r="K90" s="36" t="n"/>
      <c r="L90" s="36" t="n"/>
      <c r="M90" s="163" t="n"/>
      <c r="N90" s="163" t="n"/>
      <c r="O90" s="163" t="n"/>
      <c r="P90" s="164" t="n"/>
      <c r="Q90" s="164" t="n"/>
      <c r="R90" s="14" t="n"/>
    </row>
    <row r="91" ht="15" customHeight="1">
      <c r="A91" s="62" t="inlineStr">
        <is>
          <t>No</t>
        </is>
      </c>
      <c r="B91" s="62" t="inlineStr">
        <is>
          <t>Material NAV Item
Code</t>
        </is>
      </c>
      <c r="C91" s="62" t="inlineStr">
        <is>
          <t>Material Name</t>
        </is>
      </c>
      <c r="D91" s="25" t="n"/>
      <c r="E91" s="152" t="inlineStr">
        <is>
          <t>Physical State</t>
        </is>
      </c>
      <c r="F91" s="62" t="inlineStr">
        <is>
          <t>CAS Number</t>
        </is>
      </c>
      <c r="G91" s="63" t="inlineStr">
        <is>
          <t>Ratio
(%)</t>
        </is>
      </c>
      <c r="H91" s="64" t="inlineStr">
        <is>
          <t>Dosage
(mg/stick)</t>
        </is>
      </c>
      <c r="I91" s="65" t="inlineStr">
        <is>
          <t>Material
Price
(USD / KG)</t>
        </is>
      </c>
      <c r="J91" s="65" t="inlineStr">
        <is>
          <t>Formulation
Price 
(USD / KG)</t>
        </is>
      </c>
      <c r="K91" s="64" t="inlineStr">
        <is>
          <t>Dosage
(KG / MC)</t>
        </is>
      </c>
      <c r="L91" s="62" t="inlineStr">
        <is>
          <t>Density</t>
        </is>
      </c>
      <c r="M91" s="163" t="n"/>
      <c r="N91" s="163" t="n"/>
      <c r="O91" s="163" t="n"/>
      <c r="P91" s="164" t="n"/>
      <c r="Q91" s="164" t="n"/>
      <c r="R91" s="14" t="n"/>
    </row>
    <row r="92" ht="54" customHeight="1">
      <c r="A92" s="66" t="n"/>
      <c r="B92" s="66" t="n"/>
      <c r="C92" s="33" t="n"/>
      <c r="D92" s="32" t="n"/>
      <c r="E92" s="66" t="n"/>
      <c r="F92" s="66" t="n"/>
      <c r="G92" s="74" t="n"/>
      <c r="H92" s="69" t="n"/>
      <c r="I92" s="70" t="n"/>
      <c r="J92" s="70" t="n"/>
      <c r="K92" s="69" t="n"/>
      <c r="L92" s="66" t="n"/>
      <c r="M92" s="163" t="n"/>
      <c r="N92" s="163" t="n"/>
      <c r="O92" s="163" t="n"/>
      <c r="P92" s="164" t="n"/>
      <c r="Q92" s="164" t="n"/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75" t="n"/>
      <c r="M93" s="163" t="n"/>
      <c r="N93" s="163" t="n"/>
      <c r="O93" s="163" t="n"/>
      <c r="P93" s="164" t="n"/>
      <c r="Q93" s="164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75" t="n"/>
      <c r="M94" s="163" t="n"/>
      <c r="N94" s="163" t="n"/>
      <c r="O94" s="163" t="n"/>
      <c r="P94" s="164" t="n"/>
      <c r="Q94" s="164" t="n"/>
      <c r="R94" s="14" t="n"/>
    </row>
    <row r="95" ht="14.5" customHeight="1">
      <c r="A95" s="76" t="inlineStr">
        <is>
          <t>Total</t>
        </is>
      </c>
      <c r="B95" s="77" t="n"/>
      <c r="C95" s="77" t="n"/>
      <c r="D95" s="77" t="n"/>
      <c r="E95" s="77" t="n"/>
      <c r="F95" s="78" t="n"/>
      <c r="G95" s="154">
        <f>SUM(G92:G94)</f>
        <v/>
      </c>
      <c r="H95" s="155">
        <f>SUM(H92:H94)</f>
        <v/>
      </c>
      <c r="I95" s="156" t="n"/>
      <c r="J95" s="157">
        <f>SUM(J92:J94)</f>
        <v/>
      </c>
      <c r="K95" s="158">
        <f>SUM(K92:K94)</f>
        <v/>
      </c>
      <c r="L95" s="76" t="n"/>
      <c r="M95" s="159" t="n"/>
      <c r="N95" s="160" t="n"/>
      <c r="O95" s="160" t="n"/>
      <c r="P95" s="160" t="n"/>
      <c r="Q95" s="160" t="n"/>
      <c r="R95" s="14" t="n"/>
    </row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4" ht="14.5" customHeight="1"/>
    <row r="125" ht="14.5" customHeight="1"/>
    <row r="126" ht="14.5" customHeight="1"/>
    <row r="128" ht="14.5" customHeight="1"/>
    <row r="129" ht="14.5" customHeight="1"/>
    <row r="132" ht="15" customHeight="1"/>
    <row r="133" ht="48" customHeight="1"/>
  </sheetData>
  <mergeCells count="90">
    <mergeCell ref="A15:B15"/>
    <mergeCell ref="A130:Q130"/>
    <mergeCell ref="H10:I10"/>
    <mergeCell ref="C13:F13"/>
    <mergeCell ref="M64:Q64"/>
    <mergeCell ref="A65:E65"/>
    <mergeCell ref="A7:B7"/>
    <mergeCell ref="E47:Q47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Q134:Q142"/>
    <mergeCell ref="F66:L66"/>
    <mergeCell ref="A4:Q4"/>
    <mergeCell ref="A63:E63"/>
    <mergeCell ref="E34:Q34"/>
    <mergeCell ref="C1:O3"/>
    <mergeCell ref="C28:D28"/>
    <mergeCell ref="M66:Q66"/>
    <mergeCell ref="E36:Q36"/>
    <mergeCell ref="A22:D22"/>
    <mergeCell ref="A35:D35"/>
    <mergeCell ref="A73:Q73"/>
    <mergeCell ref="A1:B3"/>
    <mergeCell ref="P134:P142"/>
    <mergeCell ref="E22:Q22"/>
    <mergeCell ref="F64:L64"/>
    <mergeCell ref="F18:G18"/>
    <mergeCell ref="F65:L65"/>
    <mergeCell ref="E21:Q21"/>
    <mergeCell ref="C14:F14"/>
    <mergeCell ref="E23:Q23"/>
    <mergeCell ref="N138:N142"/>
    <mergeCell ref="M138:M142"/>
    <mergeCell ref="A10:B10"/>
    <mergeCell ref="A20:Q20"/>
    <mergeCell ref="J18:Q18"/>
    <mergeCell ref="A131:D131"/>
    <mergeCell ref="N134:N137"/>
    <mergeCell ref="O134:O142"/>
    <mergeCell ref="C85:D85"/>
    <mergeCell ref="A34:D34"/>
    <mergeCell ref="C133:D133"/>
    <mergeCell ref="C84:D84"/>
    <mergeCell ref="A66:E66"/>
    <mergeCell ref="A36:D36"/>
    <mergeCell ref="A12:B12"/>
    <mergeCell ref="E132:Q132"/>
    <mergeCell ref="C51:D51"/>
    <mergeCell ref="A5:B5"/>
    <mergeCell ref="A14:B14"/>
    <mergeCell ref="A143:F143"/>
    <mergeCell ref="A33:Q33"/>
    <mergeCell ref="M134:M137"/>
    <mergeCell ref="A17:Q17"/>
    <mergeCell ref="C38:D38"/>
    <mergeCell ref="C12:F12"/>
    <mergeCell ref="A21:D21"/>
    <mergeCell ref="A19:Q19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132:D132"/>
    <mergeCell ref="E35:Q35"/>
    <mergeCell ref="C16:F16"/>
    <mergeCell ref="C52:D52"/>
    <mergeCell ref="D18:E18"/>
    <mergeCell ref="C39:D39"/>
    <mergeCell ref="H18:I18"/>
    <mergeCell ref="M63:Q63"/>
    <mergeCell ref="A13:B13"/>
    <mergeCell ref="A47:D47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2026-07-08T02:17:05Z</dcterms:created>
  <dcterms:modified xsi:type="dcterms:W3CDTF">2026-07-08T02:17:06Z</dcterms:modified>
</cp:coreProperties>
</file>